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sse\Documents\GitHub\linreg-core\VBA_Example\"/>
    </mc:Choice>
  </mc:AlternateContent>
  <xr:revisionPtr revIDLastSave="0" documentId="13_ncr:1_{3CAC2E21-0841-409A-B214-762B960D2EB2}" xr6:coauthVersionLast="47" xr6:coauthVersionMax="47" xr10:uidLastSave="{00000000-0000-0000-0000-000000000000}"/>
  <bookViews>
    <workbookView xWindow="-120" yWindow="-120" windowWidth="16440" windowHeight="28440" tabRatio="805" activeTab="1" xr2:uid="{F78348AA-E52F-4FE9-9158-4297B6AE5B0C}"/>
  </bookViews>
  <sheets>
    <sheet name="Sheet1" sheetId="1" r:id="rId1"/>
    <sheet name="OLS Example" sheetId="24" r:id="rId2"/>
    <sheet name="Diagnostics" sheetId="25" r:id="rId3"/>
    <sheet name="Regularized" sheetId="26" r:id="rId4"/>
    <sheet name="Cross Validation" sheetId="27" r:id="rId5"/>
    <sheet name="Polynomial" sheetId="28" r:id="rId6"/>
    <sheet name="Instructions" sheetId="29" r:id="rId7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" i="24" l="1" a="1"/>
  <c r="A63" i="24" s="1"/>
  <c r="A34" i="26" a="1"/>
  <c r="A34" i="26" s="1"/>
  <c r="A41" i="28" a="1"/>
  <c r="A41" i="28" s="1"/>
  <c r="I32" i="27"/>
  <c r="I29" i="27"/>
  <c r="I26" i="27"/>
  <c r="I25" i="27"/>
  <c r="I24" i="27"/>
  <c r="I23" i="27"/>
  <c r="F32" i="27"/>
  <c r="F29" i="27"/>
  <c r="F26" i="27"/>
  <c r="F25" i="27"/>
  <c r="F24" i="27"/>
  <c r="F23" i="27"/>
  <c r="D22" i="27" a="1"/>
  <c r="D22" i="27" s="1"/>
  <c r="C23" i="27"/>
  <c r="C32" i="27"/>
  <c r="C29" i="27"/>
  <c r="C26" i="27"/>
  <c r="C25" i="27"/>
  <c r="C24" i="27"/>
  <c r="G22" i="27" a="1"/>
  <c r="G22" i="27" s="1"/>
  <c r="A22" i="27" a="1"/>
  <c r="A22" i="27" s="1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0" i="25"/>
  <c r="J11" i="25"/>
  <c r="J9" i="25"/>
  <c r="J7" i="25"/>
  <c r="J8" i="25"/>
  <c r="H25" i="25" a="1"/>
  <c r="H25" i="25" s="1"/>
  <c r="H23" i="25" a="1"/>
  <c r="H23" i="25" s="1"/>
  <c r="H21" i="25" a="1"/>
  <c r="H21" i="25" s="1"/>
  <c r="H19" i="25" a="1"/>
  <c r="H19" i="25" s="1"/>
  <c r="H17" i="25" a="1"/>
  <c r="H17" i="25" s="1"/>
  <c r="H15" i="25" a="1"/>
  <c r="H15" i="25" s="1"/>
  <c r="H13" i="25" a="1"/>
  <c r="H13" i="25" s="1"/>
  <c r="H11" i="25" a="1"/>
  <c r="H11" i="25" s="1"/>
  <c r="H9" i="25" a="1"/>
  <c r="H9" i="25" s="1"/>
  <c r="H7" i="25" a="1"/>
  <c r="H7" i="25" s="1"/>
  <c r="C30" i="26"/>
  <c r="D30" i="26"/>
  <c r="C31" i="26"/>
  <c r="D31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A18" i="26" a="1"/>
  <c r="A18" i="26" s="1"/>
  <c r="C18" i="26"/>
  <c r="C22" i="26"/>
  <c r="C19" i="26"/>
  <c r="C20" i="26"/>
  <c r="C21" i="26"/>
  <c r="C23" i="26"/>
  <c r="C24" i="26"/>
  <c r="C25" i="26"/>
  <c r="C26" i="26"/>
  <c r="C27" i="26"/>
  <c r="C28" i="26"/>
  <c r="C29" i="26"/>
  <c r="P63" i="24"/>
  <c r="P64" i="24"/>
  <c r="P65" i="24"/>
  <c r="P66" i="24"/>
  <c r="P67" i="24"/>
  <c r="P68" i="24"/>
  <c r="P69" i="24"/>
  <c r="P70" i="24"/>
  <c r="P71" i="24"/>
  <c r="P72" i="24"/>
  <c r="P73" i="24"/>
  <c r="P74" i="24"/>
  <c r="M74" i="24"/>
  <c r="M64" i="24"/>
  <c r="N64" i="24"/>
  <c r="O64" i="24"/>
  <c r="M65" i="24"/>
  <c r="N65" i="24"/>
  <c r="O65" i="24"/>
  <c r="M66" i="24"/>
  <c r="N66" i="24"/>
  <c r="O66" i="24"/>
  <c r="M67" i="24"/>
  <c r="N67" i="24"/>
  <c r="O67" i="24"/>
  <c r="M68" i="24"/>
  <c r="N68" i="24"/>
  <c r="O68" i="24"/>
  <c r="M69" i="24"/>
  <c r="N69" i="24"/>
  <c r="O69" i="24"/>
  <c r="M70" i="24"/>
  <c r="N70" i="24"/>
  <c r="O70" i="24"/>
  <c r="M71" i="24"/>
  <c r="N71" i="24"/>
  <c r="O71" i="24"/>
  <c r="M72" i="24"/>
  <c r="N72" i="24"/>
  <c r="O72" i="24"/>
  <c r="M73" i="24"/>
  <c r="N73" i="24"/>
  <c r="O73" i="24"/>
  <c r="N74" i="24"/>
  <c r="O74" i="24"/>
  <c r="N63" i="24"/>
  <c r="O63" i="24"/>
  <c r="M63" i="24"/>
  <c r="L63" i="24"/>
  <c r="A49" i="24" a="1"/>
  <c r="A49" i="24" s="1"/>
  <c r="L51" i="24"/>
  <c r="M51" i="24"/>
  <c r="N51" i="24"/>
  <c r="O51" i="24"/>
  <c r="L52" i="24"/>
  <c r="M52" i="24"/>
  <c r="N52" i="24"/>
  <c r="O52" i="24"/>
  <c r="L53" i="24"/>
  <c r="M53" i="24"/>
  <c r="N53" i="24"/>
  <c r="O53" i="24"/>
  <c r="L54" i="24"/>
  <c r="M54" i="24"/>
  <c r="N54" i="24"/>
  <c r="O54" i="24"/>
  <c r="L55" i="24"/>
  <c r="M55" i="24"/>
  <c r="N55" i="24"/>
  <c r="O55" i="24"/>
  <c r="L56" i="24"/>
  <c r="M56" i="24"/>
  <c r="N56" i="24"/>
  <c r="O56" i="24"/>
  <c r="L57" i="24"/>
  <c r="M57" i="24"/>
  <c r="N57" i="24"/>
  <c r="O57" i="24"/>
  <c r="L58" i="24"/>
  <c r="M58" i="24"/>
  <c r="N58" i="24"/>
  <c r="O58" i="24"/>
  <c r="L59" i="24"/>
  <c r="M59" i="24"/>
  <c r="N59" i="24"/>
  <c r="O59" i="24"/>
  <c r="M50" i="24"/>
  <c r="N50" i="24"/>
  <c r="O50" i="24"/>
  <c r="L50" i="24"/>
  <c r="A36" i="24" a="1"/>
  <c r="A36" i="2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<sst xmlns="http://schemas.openxmlformats.org/spreadsheetml/2006/main" count="236" uniqueCount="150">
  <si>
    <t>Dataset: mtcars (first 20 rows)   |   Y = mpg   |   X = cyl, disp, hp, wt</t>
  </si>
  <si>
    <t>mpg</t>
  </si>
  <si>
    <t>cyl</t>
  </si>
  <si>
    <t>disp</t>
  </si>
  <si>
    <t>hp</t>
  </si>
  <si>
    <t>wt</t>
  </si>
  <si>
    <t>Runs 10 tests on the mtcars data from the OLS Example sheet.</t>
  </si>
  <si>
    <t>Lambda:</t>
  </si>
  <si>
    <t>Alpha (0 = Ridge, 1 = Lasso):</t>
  </si>
  <si>
    <t>Edit the yellow cells, then click a button.</t>
  </si>
  <si>
    <t>WHAT IS THIS WORKBOOK?</t>
  </si>
  <si>
    <t>This workbook connects Excel to the linreg_core.dll statistical library, which performs OLS, Ridge, Lasso, and Elastic Net regression plus 10 diagnostic tests.</t>
  </si>
  <si>
    <t>FILES REQUIRED (place all three in the same folder as this workbook)</t>
  </si>
  <si>
    <t>FIRST-TIME SETUP (one-time only)</t>
  </si>
  <si>
    <t xml:space="preserve">   1. Place both DLL files and this workbook in the same folder.</t>
  </si>
  <si>
    <t xml:space="preserve">   3. That's it. The library loads automatically on open.</t>
  </si>
  <si>
    <t>SHEETS</t>
  </si>
  <si>
    <t>READING OLS OUTPUT</t>
  </si>
  <si>
    <t>READING DIAGNOSTIC OUTPUT</t>
  </si>
  <si>
    <t>REGULARIZED REGRESSION</t>
  </si>
  <si>
    <t>LIBRARY INFORMATION</t>
  </si>
  <si>
    <t xml:space="preserve">   Name:     linreg-core</t>
  </si>
  <si>
    <t xml:space="preserve">   License:  MIT OR Apache-2.0</t>
  </si>
  <si>
    <t xml:space="preserve">   Source:   https://github.com/jesse-anderson/linreg-core</t>
  </si>
  <si>
    <t>Term</t>
  </si>
  <si>
    <t>Coefficient</t>
  </si>
  <si>
    <t>Std Error</t>
  </si>
  <si>
    <t>t Stat</t>
  </si>
  <si>
    <t>p-Value</t>
  </si>
  <si>
    <t>Intercept</t>
  </si>
  <si>
    <t>X1</t>
  </si>
  <si>
    <t>X2</t>
  </si>
  <si>
    <t>X3</t>
  </si>
  <si>
    <t>X4</t>
  </si>
  <si>
    <t>F-stat</t>
  </si>
  <si>
    <t>p(F)</t>
  </si>
  <si>
    <t>MSE</t>
  </si>
  <si>
    <t>n</t>
  </si>
  <si>
    <t>Predicted</t>
  </si>
  <si>
    <t>Lower</t>
  </si>
  <si>
    <t>Upper</t>
  </si>
  <si>
    <t>SE_Pred</t>
  </si>
  <si>
    <t>LinregCore - OLS Regression Example</t>
  </si>
  <si>
    <t>LinregCore - Diagnostic Tests</t>
  </si>
  <si>
    <t>LinregCore - Regularized Regression</t>
  </si>
  <si>
    <t>LinregCore - Setup &amp; Usage Guide</t>
  </si>
  <si>
    <t xml:space="preserve">   linreg_core_x64.dll  - for 64-bit Excel (most modern installs)</t>
  </si>
  <si>
    <t xml:space="preserve">   linreg_core_x86.dll  - for 32-bit Excel</t>
  </si>
  <si>
    <t xml:space="preserve">   LinregCore_Example.xlsm  - this workbook</t>
  </si>
  <si>
    <t xml:space="preserve">   2. Open the workbook - click Enable Macros if prompted.</t>
  </si>
  <si>
    <t xml:space="preserve">   OLS Example    - OLS regression and prediction intervals on mtcars data</t>
  </si>
  <si>
    <t xml:space="preserve">   Diagnostics    - 10 statistical diagnostic tests</t>
  </si>
  <si>
    <t xml:space="preserve">   Regularized    - Ridge, Lasso, Elastic Net (edit Lambda/Alpha, click button)</t>
  </si>
  <si>
    <t xml:space="preserve">   Instructions   - this page</t>
  </si>
  <si>
    <t xml:space="preserve">   Term          - coefficient name (Intercept, X1=cyl, X2=disp, X3=hp, X4=wt)</t>
  </si>
  <si>
    <t xml:space="preserve">   Coefficient   - estimated value</t>
  </si>
  <si>
    <t xml:space="preserve">   Std Error     - standard error of the estimate</t>
  </si>
  <si>
    <t xml:space="preserve">   t Stat        - coefficient / std error</t>
  </si>
  <si>
    <t xml:space="preserve">   p-Value       - two-tailed significance (&lt; 0.05 is conventionally significant)</t>
  </si>
  <si>
    <t xml:space="preserve">   Adj R-squared        - R-squared adjusted for number of predictors</t>
  </si>
  <si>
    <t xml:space="preserve">   F-stat / p(F) - overall model significance</t>
  </si>
  <si>
    <t xml:space="preserve">   MSE           - mean squared error of residuals</t>
  </si>
  <si>
    <t xml:space="preserve">   Statistic     - test statistic (chi-squared, F, t, or W depending on test)</t>
  </si>
  <si>
    <t xml:space="preserve">   p-Value       - p &lt; 0.05 suggests the assumption may be violated</t>
  </si>
  <si>
    <t xml:space="preserve">   df            - degrees of freedom (where applicable)</t>
  </si>
  <si>
    <t xml:space="preserve">   Durbin-Watson - rho column shows estimated autocorrelation (not a p-value)</t>
  </si>
  <si>
    <t xml:space="preserve">   Lambda        - regularization strength. Larger = more shrinkage.</t>
  </si>
  <si>
    <t xml:space="preserve">   Alpha         - mixing parameter. 0 = pure Ridge. 1 = pure Lasso. 0.5 = Elastic Net.</t>
  </si>
  <si>
    <t xml:space="preserve">   Non-zero      - number of non-zero coefficients after Lasso/Elastic Net shrinkage.</t>
  </si>
  <si>
    <t>R-squared</t>
  </si>
  <si>
    <t>Adj R-squared</t>
  </si>
  <si>
    <t>95% Prediction Intervals - rows 16-20 predicted from model trained on rows 1-15</t>
  </si>
  <si>
    <t>Test</t>
  </si>
  <si>
    <t>Statistic</t>
  </si>
  <si>
    <t>p-Value / rho</t>
  </si>
  <si>
    <t>df</t>
  </si>
  <si>
    <t>Breusch-Pagan</t>
  </si>
  <si>
    <t>White</t>
  </si>
  <si>
    <t>Jarque-Bera</t>
  </si>
  <si>
    <t>Shapiro-Wilk</t>
  </si>
  <si>
    <t>Anderson-Darling</t>
  </si>
  <si>
    <t>Harvey-Collier</t>
  </si>
  <si>
    <t>Rainbow (fraction = 0.5)</t>
  </si>
  <si>
    <t>RESET (powers 2, 3)</t>
  </si>
  <si>
    <t>Durbin-Watson</t>
  </si>
  <si>
    <t>Breusch-Godfrey (lag=1)</t>
  </si>
  <si>
    <t>Lambda</t>
  </si>
  <si>
    <t>Non-zero</t>
  </si>
  <si>
    <t>Converged</t>
  </si>
  <si>
    <t>Yes</t>
  </si>
  <si>
    <t>Alpha</t>
  </si>
  <si>
    <t>LinregCore - K-Fold Cross Validation</t>
  </si>
  <si>
    <t>K-Fold CV evaluates model performance by splitting data into folds, training on subsets, and testing on held-out folds.</t>
  </si>
  <si>
    <t>Number of Folds:</t>
  </si>
  <si>
    <t>LinregCore - Polynomial Regression</t>
  </si>
  <si>
    <t>Fit y = b0 + b1*x + b2*x^2 + ... + bd*x^d. Uses single predictor x from OLS sheet (hp).</t>
  </si>
  <si>
    <t>x</t>
  </si>
  <si>
    <t>y</t>
  </si>
  <si>
    <t>Degree:</t>
  </si>
  <si>
    <t>Center (recommended for degree &gt;= 3):</t>
  </si>
  <si>
    <t xml:space="preserve">   Cross Validation - K-Fold CV for OLS, Ridge, Lasso, Elastic Net</t>
  </si>
  <si>
    <t xml:space="preserve">   Polynomial     - Fit polynomial curves (y = b0 + b1*x + b2*x^2 + ...)</t>
  </si>
  <si>
    <t>K-FOLD CROSS VALIDATION</t>
  </si>
  <si>
    <t xml:space="preserve">   nFolds        - number of folds (default 5). More folds = less bias per fold, slower.</t>
  </si>
  <si>
    <t xml:space="preserve">   Mean MSE/RMSE - average error across all folds (lower is better).</t>
  </si>
  <si>
    <t xml:space="preserve">   Std MSE/RMSE  - standard deviation of error across folds (lower = more stable).</t>
  </si>
  <si>
    <t>POLYNOMIAL REGRESSION</t>
  </si>
  <si>
    <t xml:space="preserve">   Degree        - highest power of x (1=linear, 2=quadratic, 3=cubic, etc.)</t>
  </si>
  <si>
    <t xml:space="preserve">   Center        - subtract mean of x before creating powers (recommended for degree &gt;= 3)</t>
  </si>
  <si>
    <t xml:space="preserve">   Version:  0.8.0</t>
  </si>
  <si>
    <t>Degree</t>
  </si>
  <si>
    <t>Centered</t>
  </si>
  <si>
    <t>Method</t>
  </si>
  <si>
    <t>nFolds</t>
  </si>
  <si>
    <t>Mean MSE</t>
  </si>
  <si>
    <t>Std MSE</t>
  </si>
  <si>
    <t>Mean RMSE</t>
  </si>
  <si>
    <t>Std RMSE</t>
  </si>
  <si>
    <t xml:space="preserve">   Mean R-squared       - average R-squared across folds (higher is better).</t>
  </si>
  <si>
    <t xml:space="preserve">                   Reduces multicollinearity between x, x^2, x^3, etc.</t>
  </si>
  <si>
    <t>Mean R-squared</t>
  </si>
  <si>
    <t>VIF (Variance Inflation Factors)</t>
  </si>
  <si>
    <t>Weights</t>
  </si>
  <si>
    <t>WLS Results (weights = 1.0 for demo, edit column F for custom weights)</t>
  </si>
  <si>
    <t xml:space="preserve">   R-squared            - proportion of variance explained (0-1)</t>
  </si>
  <si>
    <t>Reduces multicollinearity between x, x^2, x^3, etc.</t>
  </si>
  <si>
    <t>Ridge (lambda=1)</t>
  </si>
  <si>
    <t>Ridge (lambda=0.1)</t>
  </si>
  <si>
    <t>Ridge (lambda=0.01)</t>
  </si>
  <si>
    <t/>
  </si>
  <si>
    <t>F-statistic</t>
  </si>
  <si>
    <t>F p-value</t>
  </si>
  <si>
    <t>Resid Std Err</t>
  </si>
  <si>
    <t>RMSE</t>
  </si>
  <si>
    <t>WLS Match Boolean</t>
  </si>
  <si>
    <t>OLS Match Boolean</t>
  </si>
  <si>
    <t>BP</t>
  </si>
  <si>
    <t>Jarque</t>
  </si>
  <si>
    <t>Shapiro</t>
  </si>
  <si>
    <t>Anderson</t>
  </si>
  <si>
    <t>Harvey</t>
  </si>
  <si>
    <t>Rainbow</t>
  </si>
  <si>
    <t>RESET</t>
  </si>
  <si>
    <t>Durbin</t>
  </si>
  <si>
    <t>BG</t>
  </si>
  <si>
    <t>MATCH</t>
  </si>
  <si>
    <t>Ridge lam 1</t>
  </si>
  <si>
    <t>Ridge lam 0.01</t>
  </si>
  <si>
    <t>Ridge lam 0.1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</si>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</sst>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i/>
      <sz val="11"/>
      <color rgb="FF646464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EBF1FC"/>
        <bgColor indexed="64"/>
      </patternFill>
    </fill>
    <fill>
      <patternFill patternType="solid">
        <fgColor rgb="FFFFFF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0</xdr:rowOff>
        </xdr:from>
        <xdr:to>
          <xdr:col>7</xdr:col>
          <xdr:colOff>790575</xdr:colOff>
          <xdr:row>12</xdr:row>
          <xdr:rowOff>161925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0</xdr:rowOff>
        </xdr:from>
        <xdr:to>
          <xdr:col>7</xdr:col>
          <xdr:colOff>790575</xdr:colOff>
          <xdr:row>14</xdr:row>
          <xdr:rowOff>161925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Prediction Intervals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</xdr:row>
          <xdr:rowOff>0</xdr:rowOff>
        </xdr:from>
        <xdr:to>
          <xdr:col>7</xdr:col>
          <xdr:colOff>790575</xdr:colOff>
          <xdr:row>16</xdr:row>
          <xdr:rowOff>161925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1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VIF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7</xdr:col>
          <xdr:colOff>790575</xdr:colOff>
          <xdr:row>18</xdr:row>
          <xdr:rowOff>161925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1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WLS (Weighted)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8</xdr:col>
          <xdr:colOff>200025</xdr:colOff>
          <xdr:row>3</xdr:row>
          <xdr:rowOff>161925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Diagnostics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1524000</xdr:colOff>
          <xdr:row>6</xdr:row>
          <xdr:rowOff>161925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1524000</xdr:colOff>
          <xdr:row>9</xdr:row>
          <xdr:rowOff>161925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3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0</xdr:col>
          <xdr:colOff>1524000</xdr:colOff>
          <xdr:row>12</xdr:row>
          <xdr:rowOff>161925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3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Elastic Net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552450</xdr:colOff>
          <xdr:row>6</xdr:row>
          <xdr:rowOff>161925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KFold 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9</xdr:col>
          <xdr:colOff>552450</xdr:colOff>
          <xdr:row>9</xdr:row>
          <xdr:rowOff>161925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KFold Ridge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0</xdr:rowOff>
        </xdr:from>
        <xdr:to>
          <xdr:col>9</xdr:col>
          <xdr:colOff>552450</xdr:colOff>
          <xdr:row>12</xdr:row>
          <xdr:rowOff>161925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4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KFold Lasso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9</xdr:col>
          <xdr:colOff>552450</xdr:colOff>
          <xdr:row>15</xdr:row>
          <xdr:rowOff>161925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4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KFold Elastic Net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0</xdr:rowOff>
        </xdr:from>
        <xdr:to>
          <xdr:col>2</xdr:col>
          <xdr:colOff>209550</xdr:colOff>
          <xdr:row>32</xdr:row>
          <xdr:rowOff>161925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5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 Polynomial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</xdr:row>
          <xdr:rowOff>0</xdr:rowOff>
        </xdr:from>
        <xdr:to>
          <xdr:col>2</xdr:col>
          <xdr:colOff>209550</xdr:colOff>
          <xdr:row>35</xdr:row>
          <xdr:rowOff>161925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5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 Quadratic (deg=2)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2</xdr:col>
          <xdr:colOff>209550</xdr:colOff>
          <xdr:row>38</xdr:row>
          <xdr:rowOff>161925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5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 Cubic (deg=3)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8494-60C2-47A6-B73E-84D9202FD5B5}">
  <sheetPr codeName="Sheet1"/>
  <dimension ref="A1"/>
  <sheetViews>
    <sheetView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F853D-2A79-4BC0-9FFC-0F0E1D6862D5}">
  <sheetPr codeName="Sheet15"/>
  <dimension ref="A1:P74"/>
  <sheetViews>
    <sheetView tabSelected="1" workbookViewId="0">
      <selection activeCell="A64" sqref="A64"/>
    </sheetView>
  </sheetViews>
  <sheetFormatPr defaultRowHeight="15" x14ac:dyDescent="0.25"/>
  <cols>
    <col min="1" max="1" width="8.7109375" customWidth="1"/>
    <col min="2" max="2" width="12.42578125" customWidth="1"/>
    <col min="3" max="3" width="8.7109375" customWidth="1"/>
    <col min="4" max="4" width="7.7109375" customWidth="1"/>
    <col min="5" max="5" width="8.7109375" customWidth="1"/>
    <col min="6" max="6" width="12.7109375" customWidth="1"/>
    <col min="7" max="8" width="14.7109375" customWidth="1"/>
    <col min="9" max="9" width="12.7109375" customWidth="1"/>
    <col min="10" max="11" width="10.7109375" customWidth="1"/>
  </cols>
  <sheetData>
    <row r="1" spans="1:11" ht="17.25" x14ac:dyDescent="0.3">
      <c r="A1" s="2" t="s">
        <v>42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28</v>
      </c>
    </row>
    <row r="2" spans="1:11" x14ac:dyDescent="0.25">
      <c r="A2" s="3" t="s">
        <v>0</v>
      </c>
      <c r="G2" t="s">
        <v>29</v>
      </c>
      <c r="H2">
        <v>42.339383640417225</v>
      </c>
      <c r="I2">
        <v>4.1315178981759937</v>
      </c>
      <c r="J2">
        <v>10.247900332008596</v>
      </c>
      <c r="K2">
        <v>3.6171404094176296E-8</v>
      </c>
    </row>
    <row r="3" spans="1:11" x14ac:dyDescent="0.25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1" t="s">
        <v>122</v>
      </c>
      <c r="G3" t="s">
        <v>30</v>
      </c>
      <c r="H3">
        <v>-1.4092715034549252</v>
      </c>
      <c r="I3">
        <v>1.0299790214001201</v>
      </c>
      <c r="J3">
        <v>-1.3682526286207337</v>
      </c>
      <c r="K3">
        <v>0.19138012596393572</v>
      </c>
    </row>
    <row r="4" spans="1:11" x14ac:dyDescent="0.25">
      <c r="A4" s="5">
        <v>21</v>
      </c>
      <c r="B4" s="5">
        <v>6</v>
      </c>
      <c r="C4" s="5">
        <v>160</v>
      </c>
      <c r="D4" s="5">
        <v>110</v>
      </c>
      <c r="E4" s="5">
        <v>2.62</v>
      </c>
      <c r="F4">
        <v>1</v>
      </c>
      <c r="G4" t="s">
        <v>31</v>
      </c>
      <c r="H4">
        <v>1.1405955860269162E-2</v>
      </c>
      <c r="I4">
        <v>1.687692957500863E-2</v>
      </c>
      <c r="J4">
        <v>0.67583121737730723</v>
      </c>
      <c r="K4">
        <v>0.50943401908710584</v>
      </c>
    </row>
    <row r="5" spans="1:11" x14ac:dyDescent="0.25">
      <c r="A5">
        <v>21</v>
      </c>
      <c r="B5">
        <v>6</v>
      </c>
      <c r="C5">
        <v>160</v>
      </c>
      <c r="D5">
        <v>110</v>
      </c>
      <c r="E5">
        <v>2.875</v>
      </c>
      <c r="F5">
        <v>1</v>
      </c>
      <c r="G5" t="s">
        <v>32</v>
      </c>
      <c r="H5">
        <v>-2.0409347669641243E-2</v>
      </c>
      <c r="I5">
        <v>3.4835585367331383E-2</v>
      </c>
      <c r="J5">
        <v>-0.58587640926456241</v>
      </c>
      <c r="K5">
        <v>0.5666702476366714</v>
      </c>
    </row>
    <row r="6" spans="1:11" x14ac:dyDescent="0.25">
      <c r="A6" s="5">
        <v>22.8</v>
      </c>
      <c r="B6" s="5">
        <v>4</v>
      </c>
      <c r="C6" s="5">
        <v>108</v>
      </c>
      <c r="D6" s="5">
        <v>93</v>
      </c>
      <c r="E6" s="5">
        <v>2.3199999999999998</v>
      </c>
      <c r="F6">
        <v>1</v>
      </c>
      <c r="G6" t="s">
        <v>33</v>
      </c>
      <c r="H6">
        <v>-3.9313046891330767</v>
      </c>
      <c r="I6">
        <v>1.4703885335680105</v>
      </c>
      <c r="J6">
        <v>-2.6736502627597787</v>
      </c>
      <c r="K6">
        <v>1.7350974281017513E-2</v>
      </c>
    </row>
    <row r="7" spans="1:11" x14ac:dyDescent="0.25">
      <c r="A7">
        <v>21.4</v>
      </c>
      <c r="B7">
        <v>6</v>
      </c>
      <c r="C7">
        <v>258</v>
      </c>
      <c r="D7">
        <v>110</v>
      </c>
      <c r="E7">
        <v>3.2149999999999999</v>
      </c>
      <c r="F7">
        <v>1</v>
      </c>
    </row>
    <row r="8" spans="1:11" x14ac:dyDescent="0.25">
      <c r="A8" s="5">
        <v>18.7</v>
      </c>
      <c r="B8" s="5">
        <v>8</v>
      </c>
      <c r="C8" s="5">
        <v>360</v>
      </c>
      <c r="D8" s="5">
        <v>175</v>
      </c>
      <c r="E8" s="5">
        <v>3.44</v>
      </c>
      <c r="F8">
        <v>1</v>
      </c>
      <c r="G8" t="s">
        <v>69</v>
      </c>
      <c r="H8">
        <v>0.85782846735933171</v>
      </c>
    </row>
    <row r="9" spans="1:11" x14ac:dyDescent="0.25">
      <c r="A9">
        <v>18.100000000000001</v>
      </c>
      <c r="B9">
        <v>6</v>
      </c>
      <c r="C9">
        <v>225</v>
      </c>
      <c r="D9">
        <v>105</v>
      </c>
      <c r="E9">
        <v>3.46</v>
      </c>
      <c r="F9">
        <v>1</v>
      </c>
      <c r="G9" t="s">
        <v>70</v>
      </c>
      <c r="H9">
        <v>0.81991605865515349</v>
      </c>
    </row>
    <row r="10" spans="1:11" x14ac:dyDescent="0.25">
      <c r="A10" s="5">
        <v>14.3</v>
      </c>
      <c r="B10" s="5">
        <v>8</v>
      </c>
      <c r="C10" s="5">
        <v>360</v>
      </c>
      <c r="D10" s="5">
        <v>245</v>
      </c>
      <c r="E10" s="5">
        <v>3.57</v>
      </c>
      <c r="F10">
        <v>1</v>
      </c>
      <c r="G10" t="s">
        <v>34</v>
      </c>
      <c r="H10">
        <v>22.626588409424738</v>
      </c>
      <c r="I10" t="s">
        <v>35</v>
      </c>
      <c r="J10">
        <v>3.290793711085982E-6</v>
      </c>
    </row>
    <row r="11" spans="1:11" x14ac:dyDescent="0.25">
      <c r="A11">
        <v>24.4</v>
      </c>
      <c r="B11">
        <v>4</v>
      </c>
      <c r="C11">
        <v>146.69999999999999</v>
      </c>
      <c r="D11">
        <v>62</v>
      </c>
      <c r="E11">
        <v>3.19</v>
      </c>
      <c r="F11">
        <v>1</v>
      </c>
      <c r="G11" t="s">
        <v>36</v>
      </c>
      <c r="H11">
        <v>7.5138792372854271</v>
      </c>
      <c r="I11" t="s">
        <v>37</v>
      </c>
      <c r="J11">
        <v>20</v>
      </c>
    </row>
    <row r="12" spans="1:11" x14ac:dyDescent="0.25">
      <c r="A12" s="5">
        <v>22.8</v>
      </c>
      <c r="B12" s="5">
        <v>4</v>
      </c>
      <c r="C12" s="5">
        <v>140.80000000000001</v>
      </c>
      <c r="D12" s="5">
        <v>95</v>
      </c>
      <c r="E12" s="5">
        <v>3.15</v>
      </c>
      <c r="F12">
        <v>1</v>
      </c>
    </row>
    <row r="13" spans="1:11" x14ac:dyDescent="0.25">
      <c r="A13">
        <v>19.2</v>
      </c>
      <c r="B13">
        <v>6</v>
      </c>
      <c r="C13">
        <v>167.6</v>
      </c>
      <c r="D13">
        <v>123</v>
      </c>
      <c r="E13">
        <v>3.44</v>
      </c>
      <c r="F13">
        <v>1</v>
      </c>
    </row>
    <row r="14" spans="1:11" x14ac:dyDescent="0.25">
      <c r="A14" s="5">
        <v>17.8</v>
      </c>
      <c r="B14" s="5">
        <v>6</v>
      </c>
      <c r="C14" s="5">
        <v>167.6</v>
      </c>
      <c r="D14" s="5">
        <v>123</v>
      </c>
      <c r="E14" s="5">
        <v>3.44</v>
      </c>
      <c r="F14">
        <v>1</v>
      </c>
    </row>
    <row r="15" spans="1:11" x14ac:dyDescent="0.25">
      <c r="A15">
        <v>16.399999999999999</v>
      </c>
      <c r="B15">
        <v>8</v>
      </c>
      <c r="C15">
        <v>275.8</v>
      </c>
      <c r="D15">
        <v>180</v>
      </c>
      <c r="E15">
        <v>4.07</v>
      </c>
      <c r="F15">
        <v>1</v>
      </c>
    </row>
    <row r="16" spans="1:11" x14ac:dyDescent="0.25">
      <c r="A16" s="5">
        <v>17.3</v>
      </c>
      <c r="B16" s="5">
        <v>8</v>
      </c>
      <c r="C16" s="5">
        <v>275.8</v>
      </c>
      <c r="D16" s="5">
        <v>180</v>
      </c>
      <c r="E16" s="5">
        <v>3.73</v>
      </c>
      <c r="F16">
        <v>1</v>
      </c>
    </row>
    <row r="17" spans="1:7" x14ac:dyDescent="0.25">
      <c r="A17">
        <v>15.2</v>
      </c>
      <c r="B17">
        <v>8</v>
      </c>
      <c r="C17">
        <v>275.8</v>
      </c>
      <c r="D17">
        <v>180</v>
      </c>
      <c r="E17">
        <v>3.78</v>
      </c>
      <c r="F17">
        <v>1</v>
      </c>
    </row>
    <row r="18" spans="1:7" x14ac:dyDescent="0.25">
      <c r="A18" s="5">
        <v>10.4</v>
      </c>
      <c r="B18" s="5">
        <v>8</v>
      </c>
      <c r="C18" s="5">
        <v>472</v>
      </c>
      <c r="D18" s="5">
        <v>205</v>
      </c>
      <c r="E18" s="5">
        <v>5.25</v>
      </c>
      <c r="F18">
        <v>1</v>
      </c>
    </row>
    <row r="19" spans="1:7" x14ac:dyDescent="0.25">
      <c r="A19">
        <v>10.4</v>
      </c>
      <c r="B19">
        <v>8</v>
      </c>
      <c r="C19">
        <v>460</v>
      </c>
      <c r="D19">
        <v>215</v>
      </c>
      <c r="E19">
        <v>5.4240000000000004</v>
      </c>
      <c r="F19">
        <v>1</v>
      </c>
    </row>
    <row r="20" spans="1:7" x14ac:dyDescent="0.25">
      <c r="A20" s="5">
        <v>14.7</v>
      </c>
      <c r="B20" s="5">
        <v>8</v>
      </c>
      <c r="C20" s="5">
        <v>440</v>
      </c>
      <c r="D20" s="5">
        <v>230</v>
      </c>
      <c r="E20" s="5">
        <v>5.3449999999999998</v>
      </c>
      <c r="F20">
        <v>1</v>
      </c>
    </row>
    <row r="21" spans="1:7" x14ac:dyDescent="0.25">
      <c r="A21">
        <v>32.4</v>
      </c>
      <c r="B21">
        <v>4</v>
      </c>
      <c r="C21">
        <v>78.7</v>
      </c>
      <c r="D21">
        <v>66</v>
      </c>
      <c r="E21">
        <v>2.2000000000000002</v>
      </c>
      <c r="F21">
        <v>1</v>
      </c>
    </row>
    <row r="22" spans="1:7" x14ac:dyDescent="0.25">
      <c r="A22" s="5">
        <v>30.4</v>
      </c>
      <c r="B22" s="5">
        <v>4</v>
      </c>
      <c r="C22" s="5">
        <v>75.7</v>
      </c>
      <c r="D22" s="5">
        <v>52</v>
      </c>
      <c r="E22" s="5">
        <v>1.615</v>
      </c>
      <c r="F22">
        <v>1</v>
      </c>
    </row>
    <row r="23" spans="1:7" x14ac:dyDescent="0.25">
      <c r="A23">
        <v>33.9</v>
      </c>
      <c r="B23">
        <v>4</v>
      </c>
      <c r="C23">
        <v>71.099999999999994</v>
      </c>
      <c r="D23">
        <v>65</v>
      </c>
      <c r="E23">
        <v>1.835</v>
      </c>
      <c r="F23">
        <v>1</v>
      </c>
    </row>
    <row r="25" spans="1:7" x14ac:dyDescent="0.25">
      <c r="A25" s="1" t="s">
        <v>71</v>
      </c>
    </row>
    <row r="26" spans="1:7" x14ac:dyDescent="0.25">
      <c r="A26" s="4" t="s">
        <v>38</v>
      </c>
      <c r="B26" s="4" t="s">
        <v>39</v>
      </c>
      <c r="C26" s="4" t="s">
        <v>40</v>
      </c>
      <c r="D26" s="4" t="s">
        <v>41</v>
      </c>
    </row>
    <row r="27" spans="1:7" x14ac:dyDescent="0.25">
      <c r="A27">
        <v>10.649021791004081</v>
      </c>
      <c r="B27">
        <v>6.4118749728313817</v>
      </c>
      <c r="C27">
        <v>14.886168609176782</v>
      </c>
      <c r="D27">
        <v>1.9016529487877127</v>
      </c>
    </row>
    <row r="28" spans="1:7" x14ac:dyDescent="0.25">
      <c r="A28">
        <v>10.188014447677773</v>
      </c>
      <c r="B28">
        <v>5.8907397189141353</v>
      </c>
      <c r="C28">
        <v>14.485289176441411</v>
      </c>
      <c r="D28">
        <v>1.9286386595469664</v>
      </c>
    </row>
    <row r="29" spans="1:7" x14ac:dyDescent="0.25">
      <c r="A29">
        <v>25.119630778753024</v>
      </c>
      <c r="B29">
        <v>21.530844859391603</v>
      </c>
      <c r="C29">
        <v>28.708416698114444</v>
      </c>
      <c r="D29">
        <v>1.6106652941199329</v>
      </c>
    </row>
    <row r="30" spans="1:7" x14ac:dyDescent="0.25">
      <c r="A30">
        <v>27.382916755689649</v>
      </c>
      <c r="B30">
        <v>23.253866292532109</v>
      </c>
      <c r="C30">
        <v>31.51196721884719</v>
      </c>
      <c r="D30">
        <v>1.85313875726002</v>
      </c>
    </row>
    <row r="31" spans="1:7" x14ac:dyDescent="0.25">
      <c r="A31">
        <v>26.198914792141416</v>
      </c>
      <c r="B31">
        <v>22.372591652742734</v>
      </c>
      <c r="C31">
        <v>30.025237931540097</v>
      </c>
      <c r="D31">
        <v>1.7172732013544274</v>
      </c>
    </row>
    <row r="32" spans="1:7" x14ac:dyDescent="0.25">
      <c r="G32" s="1" t="s">
        <v>121</v>
      </c>
    </row>
    <row r="33" spans="1:11" x14ac:dyDescent="0.25">
      <c r="G33" s="4">
        <v>7.7934835863691827</v>
      </c>
    </row>
    <row r="34" spans="1:11" x14ac:dyDescent="0.25">
      <c r="G34">
        <v>11.958742021524221</v>
      </c>
    </row>
    <row r="35" spans="1:11" x14ac:dyDescent="0.25">
      <c r="G35">
        <v>11.043159053845338</v>
      </c>
    </row>
    <row r="36" spans="1:11" x14ac:dyDescent="0.25">
      <c r="A36" t="str" cm="1">
        <f t="array" ref="A36:E47">_xll.LINREG.OLS(A4:A23,B4:E23)</f>
        <v>Term</v>
      </c>
      <c r="B36" t="str">
        <v>Coefficient</v>
      </c>
      <c r="C36" t="str">
        <v>Std Error</v>
      </c>
      <c r="D36" t="str">
        <v>t Stat</v>
      </c>
      <c r="E36" t="str">
        <v>p-Value</v>
      </c>
      <c r="G36">
        <v>6.1312333799637031</v>
      </c>
    </row>
    <row r="37" spans="1:11" x14ac:dyDescent="0.25">
      <c r="A37" t="str">
        <v>Intercept</v>
      </c>
      <c r="B37">
        <v>42.339383640417225</v>
      </c>
      <c r="C37">
        <v>4.1315178981759937</v>
      </c>
      <c r="D37">
        <v>10.247900332008596</v>
      </c>
      <c r="E37">
        <v>3.6171404094176296E-8</v>
      </c>
      <c r="G37" s="1" t="s">
        <v>123</v>
      </c>
    </row>
    <row r="38" spans="1:11" x14ac:dyDescent="0.25">
      <c r="A38" t="str">
        <v>X1</v>
      </c>
      <c r="B38">
        <v>-1.4092715034549252</v>
      </c>
      <c r="C38">
        <v>1.0299790214001201</v>
      </c>
      <c r="D38">
        <v>-1.3682526286207337</v>
      </c>
      <c r="E38">
        <v>0.19138012596393572</v>
      </c>
      <c r="G38" s="4" t="s">
        <v>24</v>
      </c>
      <c r="H38" s="4" t="s">
        <v>25</v>
      </c>
      <c r="I38" s="4" t="s">
        <v>26</v>
      </c>
      <c r="J38" s="4" t="s">
        <v>27</v>
      </c>
      <c r="K38" s="4" t="s">
        <v>28</v>
      </c>
    </row>
    <row r="39" spans="1:11" x14ac:dyDescent="0.25">
      <c r="A39" t="str">
        <v>X2</v>
      </c>
      <c r="B39">
        <v>1.1405955860269162E-2</v>
      </c>
      <c r="C39">
        <v>1.687692957500863E-2</v>
      </c>
      <c r="D39">
        <v>0.67583121737730723</v>
      </c>
      <c r="E39">
        <v>0.50943401908710584</v>
      </c>
      <c r="G39" t="s">
        <v>29</v>
      </c>
      <c r="H39">
        <v>42.339383640417253</v>
      </c>
      <c r="I39">
        <v>4.1315178981759955</v>
      </c>
      <c r="J39">
        <v>10.2479003320086</v>
      </c>
      <c r="K39">
        <v>3.6171404094176296E-8</v>
      </c>
    </row>
    <row r="40" spans="1:11" x14ac:dyDescent="0.25">
      <c r="A40" t="str">
        <v>X3</v>
      </c>
      <c r="B40">
        <v>-2.0409347669641243E-2</v>
      </c>
      <c r="C40">
        <v>3.4835585367331383E-2</v>
      </c>
      <c r="D40">
        <v>-0.58587640926456241</v>
      </c>
      <c r="E40">
        <v>0.5666702476366714</v>
      </c>
      <c r="G40" t="s">
        <v>30</v>
      </c>
      <c r="H40">
        <v>-1.4092715034549257</v>
      </c>
      <c r="I40">
        <v>1.0299790214001199</v>
      </c>
      <c r="J40">
        <v>-1.3682526286207344</v>
      </c>
      <c r="K40">
        <v>0.19138012596393494</v>
      </c>
    </row>
    <row r="41" spans="1:11" x14ac:dyDescent="0.25">
      <c r="A41" t="str">
        <v>X4</v>
      </c>
      <c r="B41">
        <v>-3.9313046891330767</v>
      </c>
      <c r="C41">
        <v>1.4703885335680105</v>
      </c>
      <c r="D41">
        <v>-2.6736502627597787</v>
      </c>
      <c r="E41">
        <v>1.7350974281017513E-2</v>
      </c>
      <c r="G41" t="s">
        <v>31</v>
      </c>
      <c r="H41">
        <v>1.1405955860269202E-2</v>
      </c>
      <c r="I41">
        <v>1.6876929575008644E-2</v>
      </c>
      <c r="J41">
        <v>0.675831217377309</v>
      </c>
      <c r="K41">
        <v>0.50943401908710451</v>
      </c>
    </row>
    <row r="42" spans="1:11" x14ac:dyDescent="0.25">
      <c r="A42" t="str">
        <v>R-squared</v>
      </c>
      <c r="B42">
        <v>0.85782846735933171</v>
      </c>
      <c r="C42" t="str">
        <v/>
      </c>
      <c r="D42" t="str">
        <v/>
      </c>
      <c r="E42" t="str">
        <v/>
      </c>
      <c r="G42" t="s">
        <v>32</v>
      </c>
      <c r="H42">
        <v>-2.0409347669641347E-2</v>
      </c>
      <c r="I42">
        <v>3.4835585367331431E-2</v>
      </c>
      <c r="J42">
        <v>-0.58587640926456463</v>
      </c>
      <c r="K42">
        <v>0.5666702476366694</v>
      </c>
    </row>
    <row r="43" spans="1:11" x14ac:dyDescent="0.25">
      <c r="A43" t="str">
        <v>Adj R-squared</v>
      </c>
      <c r="B43">
        <v>0.81991605865515349</v>
      </c>
      <c r="C43" t="str">
        <v/>
      </c>
      <c r="D43" t="str">
        <v/>
      </c>
      <c r="E43" t="str">
        <v/>
      </c>
      <c r="G43" t="s">
        <v>33</v>
      </c>
      <c r="H43">
        <v>-3.931304689133079</v>
      </c>
      <c r="I43">
        <v>1.4703885335680109</v>
      </c>
      <c r="J43">
        <v>-2.6736502627597791</v>
      </c>
      <c r="K43">
        <v>1.7350974281017617E-2</v>
      </c>
    </row>
    <row r="44" spans="1:11" x14ac:dyDescent="0.25">
      <c r="A44" t="str">
        <v>F-statistic</v>
      </c>
      <c r="B44">
        <v>22.626588409424738</v>
      </c>
      <c r="C44" t="str">
        <v/>
      </c>
      <c r="D44" t="str">
        <v/>
      </c>
      <c r="E44" t="str">
        <v/>
      </c>
    </row>
    <row r="45" spans="1:11" x14ac:dyDescent="0.25">
      <c r="A45" t="str">
        <v>F p-value</v>
      </c>
      <c r="B45">
        <v>3.290793711085982E-6</v>
      </c>
      <c r="C45" t="str">
        <v/>
      </c>
      <c r="D45" t="str">
        <v/>
      </c>
      <c r="E45" t="str">
        <v/>
      </c>
      <c r="G45" t="s">
        <v>69</v>
      </c>
      <c r="H45">
        <v>0.85782846735933171</v>
      </c>
    </row>
    <row r="46" spans="1:11" x14ac:dyDescent="0.25">
      <c r="A46" t="str">
        <v>MSE</v>
      </c>
      <c r="B46">
        <v>7.5138792372854271</v>
      </c>
      <c r="C46" t="str">
        <v/>
      </c>
      <c r="D46" t="str">
        <v/>
      </c>
      <c r="E46" t="str">
        <v/>
      </c>
      <c r="G46" t="s">
        <v>70</v>
      </c>
      <c r="H46">
        <v>0.81991605865515349</v>
      </c>
    </row>
    <row r="47" spans="1:11" x14ac:dyDescent="0.25">
      <c r="A47" t="str">
        <v>RMSE</v>
      </c>
      <c r="B47">
        <v>2.7411456067282209</v>
      </c>
      <c r="C47" t="str">
        <v/>
      </c>
      <c r="D47" t="str">
        <v/>
      </c>
      <c r="E47" t="str">
        <v/>
      </c>
      <c r="G47" t="s">
        <v>34</v>
      </c>
      <c r="H47">
        <v>22.626588409424727</v>
      </c>
      <c r="I47" t="s">
        <v>35</v>
      </c>
      <c r="J47">
        <v>3.290793711085982E-6</v>
      </c>
    </row>
    <row r="48" spans="1:11" x14ac:dyDescent="0.25">
      <c r="G48" t="s">
        <v>36</v>
      </c>
      <c r="H48">
        <v>7.5138792372854306</v>
      </c>
      <c r="I48" t="s">
        <v>37</v>
      </c>
      <c r="J48">
        <v>20</v>
      </c>
    </row>
    <row r="49" spans="1:16" x14ac:dyDescent="0.25">
      <c r="A49" t="str" cm="1">
        <f t="array" ref="A49:E61">_xll.LINREG.WLS(A4:A23,B4:E23,F4:F23)</f>
        <v>Term</v>
      </c>
      <c r="B49" t="str">
        <v>Coefficient</v>
      </c>
      <c r="C49" t="str">
        <v>Std Error</v>
      </c>
      <c r="D49" t="str">
        <v>t Stat</v>
      </c>
      <c r="E49" t="str">
        <v>p-Value</v>
      </c>
      <c r="G49" s="1" t="s">
        <v>135</v>
      </c>
    </row>
    <row r="50" spans="1:16" x14ac:dyDescent="0.25">
      <c r="A50" t="str">
        <v>Intercept</v>
      </c>
      <c r="B50">
        <v>42.339383640417253</v>
      </c>
      <c r="C50">
        <v>4.1315178981759955</v>
      </c>
      <c r="D50">
        <v>10.2479003320086</v>
      </c>
      <c r="E50">
        <v>3.6171404094176296E-8</v>
      </c>
      <c r="G50">
        <v>42.339383640417225</v>
      </c>
      <c r="H50">
        <v>4.1315178981759937</v>
      </c>
      <c r="I50">
        <v>10.247900332008596</v>
      </c>
      <c r="J50">
        <v>3.6171404094176296E-8</v>
      </c>
      <c r="L50" t="str">
        <f t="shared" ref="L50:L59" si="0">IF(G50=H2,"TRUE","FALSE")</f>
        <v>TRUE</v>
      </c>
      <c r="M50" t="str">
        <f t="shared" ref="M50:M59" si="1">IF(H50=I2,"TRUE","FALSE")</f>
        <v>TRUE</v>
      </c>
      <c r="N50" t="str">
        <f t="shared" ref="N50:N59" si="2">IF(I50=J2,"TRUE","FALSE")</f>
        <v>TRUE</v>
      </c>
      <c r="O50" t="str">
        <f t="shared" ref="O50:O59" si="3">IF(J50=K2,"TRUE","FALSE")</f>
        <v>TRUE</v>
      </c>
    </row>
    <row r="51" spans="1:16" x14ac:dyDescent="0.25">
      <c r="A51" t="str">
        <v>X1</v>
      </c>
      <c r="B51">
        <v>-1.4092715034549257</v>
      </c>
      <c r="C51">
        <v>1.0299790214001199</v>
      </c>
      <c r="D51">
        <v>-1.3682526286207344</v>
      </c>
      <c r="E51">
        <v>0.19138012596393494</v>
      </c>
      <c r="G51">
        <v>-1.4092715034549252</v>
      </c>
      <c r="H51">
        <v>1.0299790214001201</v>
      </c>
      <c r="I51">
        <v>-1.3682526286207337</v>
      </c>
      <c r="J51">
        <v>0.19138012596393572</v>
      </c>
      <c r="L51" t="str">
        <f t="shared" si="0"/>
        <v>TRUE</v>
      </c>
      <c r="M51" t="str">
        <f t="shared" si="1"/>
        <v>TRUE</v>
      </c>
      <c r="N51" t="str">
        <f t="shared" si="2"/>
        <v>TRUE</v>
      </c>
      <c r="O51" t="str">
        <f t="shared" si="3"/>
        <v>TRUE</v>
      </c>
    </row>
    <row r="52" spans="1:16" x14ac:dyDescent="0.25">
      <c r="A52" t="str">
        <v>X2</v>
      </c>
      <c r="B52">
        <v>1.1405955860269202E-2</v>
      </c>
      <c r="C52">
        <v>1.6876929575008644E-2</v>
      </c>
      <c r="D52">
        <v>0.675831217377309</v>
      </c>
      <c r="E52">
        <v>0.50943401908710451</v>
      </c>
      <c r="G52">
        <v>1.1405955860269162E-2</v>
      </c>
      <c r="H52">
        <v>1.687692957500863E-2</v>
      </c>
      <c r="I52">
        <v>0.67583121737730723</v>
      </c>
      <c r="J52">
        <v>0.50943401908710584</v>
      </c>
      <c r="L52" t="str">
        <f t="shared" si="0"/>
        <v>TRUE</v>
      </c>
      <c r="M52" t="str">
        <f t="shared" si="1"/>
        <v>TRUE</v>
      </c>
      <c r="N52" t="str">
        <f t="shared" si="2"/>
        <v>TRUE</v>
      </c>
      <c r="O52" t="str">
        <f t="shared" si="3"/>
        <v>TRUE</v>
      </c>
    </row>
    <row r="53" spans="1:16" x14ac:dyDescent="0.25">
      <c r="A53" t="str">
        <v>X3</v>
      </c>
      <c r="B53">
        <v>-2.0409347669641347E-2</v>
      </c>
      <c r="C53">
        <v>3.4835585367331431E-2</v>
      </c>
      <c r="D53">
        <v>-0.58587640926456463</v>
      </c>
      <c r="E53">
        <v>0.5666702476366694</v>
      </c>
      <c r="G53">
        <v>-2.0409347669641243E-2</v>
      </c>
      <c r="H53">
        <v>3.4835585367331383E-2</v>
      </c>
      <c r="I53">
        <v>-0.58587640926456241</v>
      </c>
      <c r="J53">
        <v>0.5666702476366714</v>
      </c>
      <c r="L53" t="str">
        <f t="shared" si="0"/>
        <v>TRUE</v>
      </c>
      <c r="M53" t="str">
        <f t="shared" si="1"/>
        <v>TRUE</v>
      </c>
      <c r="N53" t="str">
        <f t="shared" si="2"/>
        <v>TRUE</v>
      </c>
      <c r="O53" t="str">
        <f t="shared" si="3"/>
        <v>TRUE</v>
      </c>
    </row>
    <row r="54" spans="1:16" x14ac:dyDescent="0.25">
      <c r="A54" t="str">
        <v>X4</v>
      </c>
      <c r="B54">
        <v>-3.931304689133079</v>
      </c>
      <c r="C54">
        <v>1.4703885335680109</v>
      </c>
      <c r="D54">
        <v>-2.6736502627597791</v>
      </c>
      <c r="E54">
        <v>1.7350974281017617E-2</v>
      </c>
      <c r="G54">
        <v>-3.9313046891330767</v>
      </c>
      <c r="H54">
        <v>1.4703885335680105</v>
      </c>
      <c r="I54">
        <v>-2.6736502627597787</v>
      </c>
      <c r="J54">
        <v>1.7350974281017513E-2</v>
      </c>
      <c r="L54" t="str">
        <f t="shared" si="0"/>
        <v>TRUE</v>
      </c>
      <c r="M54" t="str">
        <f t="shared" si="1"/>
        <v>TRUE</v>
      </c>
      <c r="N54" t="str">
        <f t="shared" si="2"/>
        <v>TRUE</v>
      </c>
      <c r="O54" t="str">
        <f t="shared" si="3"/>
        <v>TRUE</v>
      </c>
    </row>
    <row r="55" spans="1:16" x14ac:dyDescent="0.25">
      <c r="A55" t="str">
        <v>R-squared</v>
      </c>
      <c r="B55">
        <v>0.85782846735933171</v>
      </c>
      <c r="C55" t="str">
        <v/>
      </c>
      <c r="D55" t="str">
        <v/>
      </c>
      <c r="E55" t="str">
        <v/>
      </c>
      <c r="G55">
        <v>0.85782846735933171</v>
      </c>
      <c r="H55" t="s">
        <v>129</v>
      </c>
      <c r="I55" t="s">
        <v>129</v>
      </c>
      <c r="J55" t="s">
        <v>129</v>
      </c>
      <c r="L55" t="str">
        <f t="shared" si="0"/>
        <v>FALSE</v>
      </c>
      <c r="M55" t="str">
        <f t="shared" si="1"/>
        <v>TRUE</v>
      </c>
      <c r="N55" t="str">
        <f t="shared" si="2"/>
        <v>TRUE</v>
      </c>
      <c r="O55" t="str">
        <f t="shared" si="3"/>
        <v>TRUE</v>
      </c>
    </row>
    <row r="56" spans="1:16" x14ac:dyDescent="0.25">
      <c r="A56" t="str">
        <v>Adj R-squared</v>
      </c>
      <c r="B56">
        <v>0.81991605865515349</v>
      </c>
      <c r="C56" t="str">
        <v/>
      </c>
      <c r="D56" t="str">
        <v/>
      </c>
      <c r="E56" t="str">
        <v/>
      </c>
      <c r="G56">
        <v>0.81991605865515349</v>
      </c>
      <c r="H56" t="s">
        <v>129</v>
      </c>
      <c r="I56" t="s">
        <v>129</v>
      </c>
      <c r="J56" t="s">
        <v>129</v>
      </c>
      <c r="L56" t="str">
        <f t="shared" si="0"/>
        <v>FALSE</v>
      </c>
      <c r="M56" t="str">
        <f t="shared" si="1"/>
        <v>TRUE</v>
      </c>
      <c r="N56" t="str">
        <f t="shared" si="2"/>
        <v>TRUE</v>
      </c>
      <c r="O56" t="str">
        <f t="shared" si="3"/>
        <v>TRUE</v>
      </c>
    </row>
    <row r="57" spans="1:16" x14ac:dyDescent="0.25">
      <c r="A57" t="str">
        <v>F-statistic</v>
      </c>
      <c r="B57">
        <v>22.626588409424727</v>
      </c>
      <c r="C57" t="str">
        <v/>
      </c>
      <c r="D57" t="str">
        <v/>
      </c>
      <c r="E57" t="str">
        <v/>
      </c>
      <c r="G57">
        <v>22.626588409424738</v>
      </c>
      <c r="H57" t="s">
        <v>129</v>
      </c>
      <c r="I57" t="s">
        <v>129</v>
      </c>
      <c r="J57" t="s">
        <v>129</v>
      </c>
      <c r="L57" t="str">
        <f t="shared" si="0"/>
        <v>FALSE</v>
      </c>
      <c r="M57" t="str">
        <f t="shared" si="1"/>
        <v>TRUE</v>
      </c>
      <c r="N57" t="str">
        <f t="shared" si="2"/>
        <v>TRUE</v>
      </c>
      <c r="O57" t="str">
        <f t="shared" si="3"/>
        <v>TRUE</v>
      </c>
    </row>
    <row r="58" spans="1:16" x14ac:dyDescent="0.25">
      <c r="A58" t="str">
        <v>F p-value</v>
      </c>
      <c r="B58">
        <v>3.290793711085982E-6</v>
      </c>
      <c r="C58" t="str">
        <v/>
      </c>
      <c r="D58" t="str">
        <v/>
      </c>
      <c r="E58" t="str">
        <v/>
      </c>
      <c r="G58">
        <v>3.290793711085982E-6</v>
      </c>
      <c r="H58" t="s">
        <v>129</v>
      </c>
      <c r="I58" t="s">
        <v>129</v>
      </c>
      <c r="J58" t="s">
        <v>129</v>
      </c>
      <c r="L58" t="str">
        <f t="shared" si="0"/>
        <v>FALSE</v>
      </c>
      <c r="M58" t="str">
        <f t="shared" si="1"/>
        <v>FALSE</v>
      </c>
      <c r="N58" t="str">
        <f t="shared" si="2"/>
        <v>FALSE</v>
      </c>
      <c r="O58" t="str">
        <f t="shared" si="3"/>
        <v>TRUE</v>
      </c>
    </row>
    <row r="59" spans="1:16" x14ac:dyDescent="0.25">
      <c r="A59" t="str">
        <v>Resid Std Err</v>
      </c>
      <c r="B59">
        <v>2.7411456067282218</v>
      </c>
      <c r="C59" t="str">
        <v/>
      </c>
      <c r="D59" t="str">
        <v/>
      </c>
      <c r="E59" t="str">
        <v/>
      </c>
      <c r="G59">
        <v>7.5138792372854271</v>
      </c>
      <c r="H59" t="s">
        <v>129</v>
      </c>
      <c r="I59" t="s">
        <v>129</v>
      </c>
      <c r="J59" t="s">
        <v>129</v>
      </c>
      <c r="L59" t="str">
        <f t="shared" si="0"/>
        <v>TRUE</v>
      </c>
      <c r="M59" t="str">
        <f t="shared" si="1"/>
        <v>FALSE</v>
      </c>
      <c r="N59" t="str">
        <f t="shared" si="2"/>
        <v>FALSE</v>
      </c>
      <c r="O59" t="str">
        <f t="shared" si="3"/>
        <v>TRUE</v>
      </c>
    </row>
    <row r="60" spans="1:16" x14ac:dyDescent="0.25">
      <c r="A60" t="str">
        <v>MSE</v>
      </c>
      <c r="B60">
        <v>7.5138792372854306</v>
      </c>
      <c r="C60" t="str">
        <v/>
      </c>
      <c r="D60" t="str">
        <v/>
      </c>
      <c r="E60" t="str">
        <v/>
      </c>
      <c r="G60">
        <v>2.7411456067282209</v>
      </c>
      <c r="H60" t="s">
        <v>129</v>
      </c>
      <c r="I60" t="s">
        <v>129</v>
      </c>
      <c r="J60" t="s">
        <v>129</v>
      </c>
    </row>
    <row r="61" spans="1:16" x14ac:dyDescent="0.25">
      <c r="A61" t="str">
        <v>RMSE</v>
      </c>
      <c r="B61">
        <v>2.7411456067282218</v>
      </c>
      <c r="C61" t="str">
        <v/>
      </c>
      <c r="D61" t="str">
        <v/>
      </c>
      <c r="E61" t="str">
        <v/>
      </c>
      <c r="G61" s="1" t="s">
        <v>134</v>
      </c>
    </row>
    <row r="62" spans="1:16" x14ac:dyDescent="0.25">
      <c r="G62" t="s">
        <v>24</v>
      </c>
      <c r="H62" t="s">
        <v>25</v>
      </c>
      <c r="I62" t="s">
        <v>26</v>
      </c>
      <c r="J62" t="s">
        <v>27</v>
      </c>
      <c r="K62" t="s">
        <v>28</v>
      </c>
    </row>
    <row r="63" spans="1:16" x14ac:dyDescent="0.25">
      <c r="A63" t="str" cm="1">
        <f t="array" ref="A63:F70">_xll.LINREG.PREDICTIONINTERVALS(A4:A18,B4:E18,B19:E23)</f>
        <v>Obs</v>
      </c>
      <c r="B63" t="str">
        <v>Predicted</v>
      </c>
      <c r="C63" t="str">
        <v>Lower</v>
      </c>
      <c r="D63" t="str">
        <v>Upper</v>
      </c>
      <c r="E63" t="str">
        <v>SE</v>
      </c>
      <c r="F63" t="str">
        <v>Leverage</v>
      </c>
      <c r="G63" t="s">
        <v>29</v>
      </c>
      <c r="H63">
        <v>42.339383640417253</v>
      </c>
      <c r="I63">
        <v>4.1315178981759955</v>
      </c>
      <c r="J63">
        <v>10.2479003320086</v>
      </c>
      <c r="K63">
        <v>3.6171404094176296E-8</v>
      </c>
      <c r="L63" t="str">
        <f>IF(G63=H15,"TRUE","FALSE")</f>
        <v>FALSE</v>
      </c>
      <c r="M63" t="str">
        <f>IF(H63=B50,"TRUE","FALSE")</f>
        <v>TRUE</v>
      </c>
      <c r="N63" t="str">
        <f t="shared" ref="N63:O63" si="4">IF(I63=C50,"TRUE","FALSE")</f>
        <v>TRUE</v>
      </c>
      <c r="O63" t="str">
        <f t="shared" si="4"/>
        <v>TRUE</v>
      </c>
      <c r="P63" t="str">
        <f>IF(K63=E50,"TRUE","FALSE")</f>
        <v>TRUE</v>
      </c>
    </row>
    <row r="64" spans="1:16" x14ac:dyDescent="0.25">
      <c r="A64">
        <v>1</v>
      </c>
      <c r="B64">
        <v>10.649021791004081</v>
      </c>
      <c r="C64">
        <v>6.4118749728313817</v>
      </c>
      <c r="D64">
        <v>14.886168609176782</v>
      </c>
      <c r="E64">
        <v>1.9016529487877127</v>
      </c>
      <c r="F64">
        <v>0.84951856696232864</v>
      </c>
      <c r="G64" t="s">
        <v>30</v>
      </c>
      <c r="H64">
        <v>-1.4092715034549257</v>
      </c>
      <c r="I64">
        <v>1.0299790214001199</v>
      </c>
      <c r="J64">
        <v>-1.3682526286207344</v>
      </c>
      <c r="K64">
        <v>0.19138012596393494</v>
      </c>
      <c r="M64" t="str">
        <f t="shared" ref="M64:M73" si="5">IF(H64=B51,"TRUE","FALSE")</f>
        <v>TRUE</v>
      </c>
      <c r="N64" t="str">
        <f t="shared" ref="N64:N74" si="6">IF(I64=C51,"TRUE","FALSE")</f>
        <v>TRUE</v>
      </c>
      <c r="O64" t="str">
        <f t="shared" ref="O64:P74" si="7">IF(J64=D51,"TRUE","FALSE")</f>
        <v>TRUE</v>
      </c>
      <c r="P64" t="str">
        <f t="shared" si="7"/>
        <v>TRUE</v>
      </c>
    </row>
    <row r="65" spans="1:16" x14ac:dyDescent="0.25">
      <c r="A65">
        <v>2</v>
      </c>
      <c r="B65">
        <v>10.188014447677773</v>
      </c>
      <c r="C65">
        <v>5.8907397189141353</v>
      </c>
      <c r="D65">
        <v>14.485289176441411</v>
      </c>
      <c r="E65">
        <v>1.9286386595469664</v>
      </c>
      <c r="F65">
        <v>0.90238279238768748</v>
      </c>
      <c r="G65" t="s">
        <v>31</v>
      </c>
      <c r="H65">
        <v>1.1405955860269202E-2</v>
      </c>
      <c r="I65">
        <v>1.6876929575008644E-2</v>
      </c>
      <c r="J65">
        <v>0.675831217377309</v>
      </c>
      <c r="K65">
        <v>0.50943401908710451</v>
      </c>
      <c r="M65" t="str">
        <f t="shared" si="5"/>
        <v>TRUE</v>
      </c>
      <c r="N65" t="str">
        <f t="shared" si="6"/>
        <v>TRUE</v>
      </c>
      <c r="O65" t="str">
        <f t="shared" si="7"/>
        <v>TRUE</v>
      </c>
      <c r="P65" t="str">
        <f t="shared" si="7"/>
        <v>TRUE</v>
      </c>
    </row>
    <row r="66" spans="1:16" x14ac:dyDescent="0.25">
      <c r="A66">
        <v>3</v>
      </c>
      <c r="B66">
        <v>25.119630778753024</v>
      </c>
      <c r="C66">
        <v>21.530844859391603</v>
      </c>
      <c r="D66">
        <v>28.708416698114444</v>
      </c>
      <c r="E66">
        <v>1.6106652941199329</v>
      </c>
      <c r="F66">
        <v>0.32680400779439972</v>
      </c>
      <c r="G66" t="s">
        <v>32</v>
      </c>
      <c r="H66">
        <v>-2.0409347669641347E-2</v>
      </c>
      <c r="I66">
        <v>3.4835585367331431E-2</v>
      </c>
      <c r="J66">
        <v>-0.58587640926456463</v>
      </c>
      <c r="K66">
        <v>0.5666702476366694</v>
      </c>
      <c r="M66" t="str">
        <f t="shared" si="5"/>
        <v>TRUE</v>
      </c>
      <c r="N66" t="str">
        <f t="shared" si="6"/>
        <v>TRUE</v>
      </c>
      <c r="O66" t="str">
        <f t="shared" si="7"/>
        <v>TRUE</v>
      </c>
      <c r="P66" t="str">
        <f t="shared" si="7"/>
        <v>TRUE</v>
      </c>
    </row>
    <row r="67" spans="1:16" x14ac:dyDescent="0.25">
      <c r="A67">
        <v>4</v>
      </c>
      <c r="B67">
        <v>27.382916755689649</v>
      </c>
      <c r="C67">
        <v>23.253866292532109</v>
      </c>
      <c r="D67">
        <v>31.51196721884719</v>
      </c>
      <c r="E67">
        <v>1.85313875726002</v>
      </c>
      <c r="F67">
        <v>0.7563539889063795</v>
      </c>
      <c r="G67" t="s">
        <v>33</v>
      </c>
      <c r="H67">
        <v>-3.931304689133079</v>
      </c>
      <c r="I67">
        <v>1.4703885335680109</v>
      </c>
      <c r="J67">
        <v>-2.6736502627597791</v>
      </c>
      <c r="K67">
        <v>1.7350974281017617E-2</v>
      </c>
      <c r="M67" t="str">
        <f t="shared" si="5"/>
        <v>TRUE</v>
      </c>
      <c r="N67" t="str">
        <f t="shared" si="6"/>
        <v>TRUE</v>
      </c>
      <c r="O67" t="str">
        <f t="shared" si="7"/>
        <v>TRUE</v>
      </c>
      <c r="P67" t="str">
        <f t="shared" si="7"/>
        <v>TRUE</v>
      </c>
    </row>
    <row r="68" spans="1:16" x14ac:dyDescent="0.25">
      <c r="A68">
        <v>5</v>
      </c>
      <c r="B68">
        <v>26.198914792141416</v>
      </c>
      <c r="C68">
        <v>22.372591652742734</v>
      </c>
      <c r="D68">
        <v>30.025237931540097</v>
      </c>
      <c r="E68">
        <v>1.7172732013544274</v>
      </c>
      <c r="F68">
        <v>0.50825564139481483</v>
      </c>
      <c r="G68" t="s">
        <v>69</v>
      </c>
      <c r="H68">
        <v>0.85782846735933171</v>
      </c>
      <c r="I68" t="s">
        <v>129</v>
      </c>
      <c r="J68" t="s">
        <v>129</v>
      </c>
      <c r="K68" t="s">
        <v>129</v>
      </c>
      <c r="M68" t="str">
        <f t="shared" si="5"/>
        <v>TRUE</v>
      </c>
      <c r="N68" t="str">
        <f t="shared" si="6"/>
        <v>TRUE</v>
      </c>
      <c r="O68" t="str">
        <f t="shared" si="7"/>
        <v>TRUE</v>
      </c>
      <c r="P68" t="str">
        <f t="shared" si="7"/>
        <v>TRUE</v>
      </c>
    </row>
    <row r="69" spans="1:16" x14ac:dyDescent="0.25">
      <c r="A69" t="str">
        <v>Alpha</v>
      </c>
      <c r="B69">
        <v>0.05</v>
      </c>
      <c r="C69" t="str">
        <v/>
      </c>
      <c r="D69" t="str">
        <v/>
      </c>
      <c r="E69" t="str">
        <v/>
      </c>
      <c r="F69" t="str">
        <v/>
      </c>
      <c r="G69" t="s">
        <v>70</v>
      </c>
      <c r="H69">
        <v>0.81991605865515349</v>
      </c>
      <c r="I69" t="s">
        <v>129</v>
      </c>
      <c r="J69" t="s">
        <v>129</v>
      </c>
      <c r="K69" t="s">
        <v>129</v>
      </c>
      <c r="M69" t="str">
        <f t="shared" si="5"/>
        <v>TRUE</v>
      </c>
      <c r="N69" t="str">
        <f t="shared" si="6"/>
        <v>TRUE</v>
      </c>
      <c r="O69" t="str">
        <f t="shared" si="7"/>
        <v>TRUE</v>
      </c>
      <c r="P69" t="str">
        <f t="shared" si="7"/>
        <v>TRUE</v>
      </c>
    </row>
    <row r="70" spans="1:16" x14ac:dyDescent="0.25">
      <c r="A70" t="str">
        <v>df Residuals</v>
      </c>
      <c r="B70">
        <v>10</v>
      </c>
      <c r="C70" t="str">
        <v/>
      </c>
      <c r="D70" t="str">
        <v/>
      </c>
      <c r="E70" t="str">
        <v/>
      </c>
      <c r="F70" t="str">
        <v/>
      </c>
      <c r="G70" t="s">
        <v>130</v>
      </c>
      <c r="H70">
        <v>22.626588409424727</v>
      </c>
      <c r="I70" t="s">
        <v>129</v>
      </c>
      <c r="J70" t="s">
        <v>129</v>
      </c>
      <c r="K70" t="s">
        <v>129</v>
      </c>
      <c r="M70" t="str">
        <f t="shared" si="5"/>
        <v>TRUE</v>
      </c>
      <c r="N70" t="str">
        <f t="shared" si="6"/>
        <v>TRUE</v>
      </c>
      <c r="O70" t="str">
        <f t="shared" si="7"/>
        <v>TRUE</v>
      </c>
      <c r="P70" t="str">
        <f t="shared" si="7"/>
        <v>TRUE</v>
      </c>
    </row>
    <row r="71" spans="1:16" x14ac:dyDescent="0.25">
      <c r="G71" t="s">
        <v>131</v>
      </c>
      <c r="H71">
        <v>3.290793711085982E-6</v>
      </c>
      <c r="I71" t="s">
        <v>129</v>
      </c>
      <c r="J71" t="s">
        <v>129</v>
      </c>
      <c r="K71" t="s">
        <v>129</v>
      </c>
      <c r="M71" t="str">
        <f t="shared" si="5"/>
        <v>TRUE</v>
      </c>
      <c r="N71" t="str">
        <f t="shared" si="6"/>
        <v>TRUE</v>
      </c>
      <c r="O71" t="str">
        <f t="shared" si="7"/>
        <v>TRUE</v>
      </c>
      <c r="P71" t="str">
        <f t="shared" si="7"/>
        <v>TRUE</v>
      </c>
    </row>
    <row r="72" spans="1:16" x14ac:dyDescent="0.25">
      <c r="G72" t="s">
        <v>132</v>
      </c>
      <c r="H72">
        <v>2.7411456067282218</v>
      </c>
      <c r="I72" t="s">
        <v>129</v>
      </c>
      <c r="J72" t="s">
        <v>129</v>
      </c>
      <c r="K72" t="s">
        <v>129</v>
      </c>
      <c r="M72" t="str">
        <f t="shared" si="5"/>
        <v>TRUE</v>
      </c>
      <c r="N72" t="str">
        <f t="shared" si="6"/>
        <v>TRUE</v>
      </c>
      <c r="O72" t="str">
        <f t="shared" si="7"/>
        <v>TRUE</v>
      </c>
      <c r="P72" t="str">
        <f t="shared" si="7"/>
        <v>TRUE</v>
      </c>
    </row>
    <row r="73" spans="1:16" x14ac:dyDescent="0.25">
      <c r="G73" t="s">
        <v>36</v>
      </c>
      <c r="H73">
        <v>7.5138792372854306</v>
      </c>
      <c r="I73" t="s">
        <v>129</v>
      </c>
      <c r="J73" t="s">
        <v>129</v>
      </c>
      <c r="K73" t="s">
        <v>129</v>
      </c>
      <c r="M73" t="str">
        <f t="shared" si="5"/>
        <v>TRUE</v>
      </c>
      <c r="N73" t="str">
        <f t="shared" si="6"/>
        <v>TRUE</v>
      </c>
      <c r="O73" t="str">
        <f t="shared" si="7"/>
        <v>TRUE</v>
      </c>
      <c r="P73" t="str">
        <f t="shared" si="7"/>
        <v>TRUE</v>
      </c>
    </row>
    <row r="74" spans="1:16" x14ac:dyDescent="0.25">
      <c r="G74" t="s">
        <v>133</v>
      </c>
      <c r="H74">
        <v>2.7411456067282218</v>
      </c>
      <c r="I74" t="s">
        <v>129</v>
      </c>
      <c r="J74" t="s">
        <v>129</v>
      </c>
      <c r="K74" t="s">
        <v>129</v>
      </c>
      <c r="M74" t="str">
        <f>IF(H74=B61,"TRUE","FALSE")</f>
        <v>TRUE</v>
      </c>
      <c r="N74" t="str">
        <f t="shared" si="6"/>
        <v>TRUE</v>
      </c>
      <c r="O74" t="str">
        <f t="shared" si="7"/>
        <v>TRUE</v>
      </c>
      <c r="P74" t="str">
        <f t="shared" si="7"/>
        <v>TRUE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5" r:id="rId3" name="Button 5">
              <controlPr defaultSize="0" print="0" autoFill="0" autoPict="0" macro="[0]!RunOLS">
                <anchor moveWithCells="1" siz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RunPredictionIntervals">
                <anchor moveWithCells="1" siz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790575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RunVIF">
                <anchor moveWithCells="1" siz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790575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6" name="Button 8">
              <controlPr defaultSize="0" print="0" autoFill="0" autoPict="0" macro="[0]!RunWLS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790575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8886-7A77-4CC8-8350-2DCDDA83031B}">
  <sheetPr codeName="Sheet16"/>
  <dimension ref="A1:J27"/>
  <sheetViews>
    <sheetView workbookViewId="0">
      <selection activeCell="J7" sqref="J7"/>
    </sheetView>
  </sheetViews>
  <sheetFormatPr defaultRowHeight="15" x14ac:dyDescent="0.25"/>
  <cols>
    <col min="1" max="1" width="26.7109375" customWidth="1"/>
    <col min="2" max="2" width="14.7109375" customWidth="1"/>
    <col min="3" max="3" width="16.7109375" customWidth="1"/>
    <col min="4" max="4" width="8.7109375" customWidth="1"/>
  </cols>
  <sheetData>
    <row r="1" spans="1:10" ht="17.25" x14ac:dyDescent="0.3">
      <c r="A1" s="2" t="s">
        <v>43</v>
      </c>
    </row>
    <row r="2" spans="1:10" x14ac:dyDescent="0.25">
      <c r="A2" s="3" t="s">
        <v>6</v>
      </c>
    </row>
    <row r="3" spans="1:10" x14ac:dyDescent="0.25">
      <c r="A3" s="4" t="s">
        <v>72</v>
      </c>
      <c r="B3" s="4" t="s">
        <v>73</v>
      </c>
      <c r="C3" s="4" t="s">
        <v>74</v>
      </c>
      <c r="D3" s="4" t="s">
        <v>75</v>
      </c>
    </row>
    <row r="4" spans="1:10" x14ac:dyDescent="0.25">
      <c r="A4" t="s">
        <v>76</v>
      </c>
      <c r="B4">
        <v>4.8801421152899538</v>
      </c>
      <c r="C4">
        <v>0.29981821734067227</v>
      </c>
      <c r="D4">
        <v>0</v>
      </c>
    </row>
    <row r="5" spans="1:10" x14ac:dyDescent="0.25">
      <c r="A5" t="s">
        <v>77</v>
      </c>
      <c r="B5">
        <v>7.8746191108128087</v>
      </c>
      <c r="C5">
        <v>0.44581269853869943</v>
      </c>
      <c r="D5">
        <v>0</v>
      </c>
    </row>
    <row r="6" spans="1:10" x14ac:dyDescent="0.25">
      <c r="A6" t="s">
        <v>78</v>
      </c>
      <c r="B6">
        <v>1.9323591718853366</v>
      </c>
      <c r="C6">
        <v>0.38053406226273723</v>
      </c>
      <c r="D6">
        <v>0</v>
      </c>
      <c r="J6" t="s">
        <v>145</v>
      </c>
    </row>
    <row r="7" spans="1:10" x14ac:dyDescent="0.25">
      <c r="A7" t="s">
        <v>79</v>
      </c>
      <c r="B7">
        <v>0.91336096530628452</v>
      </c>
      <c r="C7">
        <v>7.3885337586183208E-2</v>
      </c>
      <c r="D7">
        <v>0</v>
      </c>
      <c r="G7" t="s">
        <v>136</v>
      </c>
      <c r="H7" t="str" cm="1">
        <f t="array" ref="H7:I8">_xll.LINREG.BREUSCHPAGAN('OLS Example'!A4:A23,'OLS Example'!B4:E23)</f>
        <v>Statistic</v>
      </c>
      <c r="I7">
        <v>4.8801421152899538</v>
      </c>
      <c r="J7" t="str">
        <f>IF(I7=B4,"TRUE","FALSE")</f>
        <v>TRUE</v>
      </c>
    </row>
    <row r="8" spans="1:10" x14ac:dyDescent="0.25">
      <c r="A8" t="s">
        <v>80</v>
      </c>
      <c r="B8">
        <v>0.73026968864675013</v>
      </c>
      <c r="C8">
        <v>4.7624437476880777E-2</v>
      </c>
      <c r="D8">
        <v>0</v>
      </c>
      <c r="H8" t="str">
        <v>p-Value</v>
      </c>
      <c r="I8">
        <v>0.29981821734067227</v>
      </c>
      <c r="J8" t="str">
        <f>IF(C4=I8,"TRUE","FALSE")</f>
        <v>TRUE</v>
      </c>
    </row>
    <row r="9" spans="1:10" x14ac:dyDescent="0.25">
      <c r="A9" t="s">
        <v>81</v>
      </c>
      <c r="B9">
        <v>1.9242966797696488</v>
      </c>
      <c r="C9">
        <v>7.488654308902909E-2</v>
      </c>
      <c r="D9">
        <v>0</v>
      </c>
      <c r="G9" t="s">
        <v>77</v>
      </c>
      <c r="H9" t="str" cm="1">
        <f t="array" ref="H9:I10">_xll.LINREG.WHITE('OLS Example'!A4:A23,'OLS Example'!B4:E23)</f>
        <v>Statistic</v>
      </c>
      <c r="I9">
        <v>7.8746191108128087</v>
      </c>
      <c r="J9" t="str">
        <f>IF(B5=I9,"TRUE","FALSE")</f>
        <v>TRUE</v>
      </c>
    </row>
    <row r="10" spans="1:10" x14ac:dyDescent="0.25">
      <c r="A10" t="s">
        <v>82</v>
      </c>
      <c r="B10">
        <v>4.0315842640829214</v>
      </c>
      <c r="C10">
        <v>6.8588621365687441E-2</v>
      </c>
      <c r="D10">
        <v>0</v>
      </c>
      <c r="H10" t="str">
        <v>p-Value</v>
      </c>
      <c r="I10">
        <v>0.44581269853869943</v>
      </c>
      <c r="J10" t="str">
        <f>IF(C5=I10,"TRUE","FALSE")</f>
        <v>TRUE</v>
      </c>
    </row>
    <row r="11" spans="1:10" x14ac:dyDescent="0.25">
      <c r="A11" t="s">
        <v>83</v>
      </c>
      <c r="B11">
        <v>3.2075994177150329</v>
      </c>
      <c r="C11">
        <v>7.3741134179750034E-2</v>
      </c>
      <c r="D11">
        <v>0</v>
      </c>
      <c r="G11" t="s">
        <v>137</v>
      </c>
      <c r="H11" t="str" cm="1">
        <f t="array" ref="H11:I12">_xll.LINREG.JARQUEBERA('OLS Example'!A4:A23,'OLS Example'!B4:E23)</f>
        <v>Statistic</v>
      </c>
      <c r="I11">
        <v>1.9323591718853366</v>
      </c>
      <c r="J11" t="str">
        <f>IF(I11=B6,"TRUE","FALSE")</f>
        <v>TRUE</v>
      </c>
    </row>
    <row r="12" spans="1:10" x14ac:dyDescent="0.25">
      <c r="A12" t="s">
        <v>84</v>
      </c>
      <c r="B12">
        <v>1.1038969802581606</v>
      </c>
      <c r="C12">
        <v>0.44805150987091968</v>
      </c>
      <c r="H12" t="str">
        <v>p-Value</v>
      </c>
      <c r="I12">
        <v>0.38053406226273723</v>
      </c>
      <c r="J12" t="str">
        <f>IF(C6=I12,"TRUE","FALSE")</f>
        <v>TRUE</v>
      </c>
    </row>
    <row r="13" spans="1:10" x14ac:dyDescent="0.25">
      <c r="A13" t="s">
        <v>85</v>
      </c>
      <c r="B13">
        <v>3.0206532591175494</v>
      </c>
      <c r="C13">
        <v>8.2210344417614184E-2</v>
      </c>
      <c r="D13">
        <v>1</v>
      </c>
      <c r="G13" t="s">
        <v>138</v>
      </c>
      <c r="H13" t="str" cm="1">
        <f t="array" ref="H13:I14">_xll.LINREG.SHAPIROWILK('OLS Example'!A4:A23,'OLS Example'!B4:E23)</f>
        <v>Statistic</v>
      </c>
      <c r="I13">
        <v>0.91336096530628452</v>
      </c>
      <c r="J13" t="str">
        <f>IF(B7=I13,"TRUE","FALSE")</f>
        <v>TRUE</v>
      </c>
    </row>
    <row r="14" spans="1:10" x14ac:dyDescent="0.25">
      <c r="H14" t="str">
        <v>p-Value</v>
      </c>
      <c r="I14">
        <v>7.3885337586183208E-2</v>
      </c>
      <c r="J14" t="str">
        <f>IF(C7=I14,"TRUE","FALSE")</f>
        <v>TRUE</v>
      </c>
    </row>
    <row r="15" spans="1:10" x14ac:dyDescent="0.25">
      <c r="G15" t="s">
        <v>139</v>
      </c>
      <c r="H15" t="str" cm="1">
        <f t="array" ref="H15:I16">_xll.LINREG.ANDERSONDARLING('OLS Example'!A4:A23,'OLS Example'!B4:E23)</f>
        <v>Statistic</v>
      </c>
      <c r="I15">
        <v>0.73026968864675013</v>
      </c>
      <c r="J15" t="str">
        <f>IF(I15=B8,"TRUE","FALSE")</f>
        <v>TRUE</v>
      </c>
    </row>
    <row r="16" spans="1:10" x14ac:dyDescent="0.25">
      <c r="H16" t="str">
        <v>p-Value</v>
      </c>
      <c r="I16">
        <v>4.7624437476880777E-2</v>
      </c>
      <c r="J16" t="str">
        <f>IF(C8=I16,"TRUE","FALSE")</f>
        <v>TRUE</v>
      </c>
    </row>
    <row r="17" spans="7:10" x14ac:dyDescent="0.25">
      <c r="G17" t="s">
        <v>140</v>
      </c>
      <c r="H17" t="str" cm="1">
        <f t="array" ref="H17:I18">_xll.LINREG.HARVEYCOLLIER('OLS Example'!A4:A23,'OLS Example'!B4:E23)</f>
        <v>Statistic</v>
      </c>
      <c r="I17">
        <v>1.9242966797696488</v>
      </c>
      <c r="J17" t="str">
        <f>IF(B9=I17,"TRUE","FALSE")</f>
        <v>TRUE</v>
      </c>
    </row>
    <row r="18" spans="7:10" x14ac:dyDescent="0.25">
      <c r="H18" t="str">
        <v>p-Value</v>
      </c>
      <c r="I18">
        <v>7.488654308902909E-2</v>
      </c>
      <c r="J18" t="str">
        <f>IF(C9=I18,"TRUE","FALSE")</f>
        <v>TRUE</v>
      </c>
    </row>
    <row r="19" spans="7:10" x14ac:dyDescent="0.25">
      <c r="G19" t="s">
        <v>141</v>
      </c>
      <c r="H19" t="str" cm="1">
        <f t="array" ref="H19:I20">_xll.LINREG.RAINBOW('OLS Example'!A4:A23,'OLS Example'!B4:E23)</f>
        <v>Statistic</v>
      </c>
      <c r="I19">
        <v>4.0315842640829214</v>
      </c>
      <c r="J19" t="str">
        <f>IF(I19=B10,"TRUE","FALSE")</f>
        <v>TRUE</v>
      </c>
    </row>
    <row r="20" spans="7:10" x14ac:dyDescent="0.25">
      <c r="H20" t="str">
        <v>p-Value</v>
      </c>
      <c r="I20">
        <v>6.8588621365687441E-2</v>
      </c>
      <c r="J20" t="str">
        <f>IF(C10=I20,"TRUE","FALSE")</f>
        <v>TRUE</v>
      </c>
    </row>
    <row r="21" spans="7:10" x14ac:dyDescent="0.25">
      <c r="G21" t="s">
        <v>142</v>
      </c>
      <c r="H21" t="str" cm="1">
        <f t="array" ref="H21:I22">_xll.LINREG.RESET('OLS Example'!A4:A23,'OLS Example'!B4:E23)</f>
        <v>Statistic</v>
      </c>
      <c r="I21">
        <v>3.2075994177150329</v>
      </c>
      <c r="J21" t="str">
        <f>IF(B11=I21,"TRUE","FALSE")</f>
        <v>TRUE</v>
      </c>
    </row>
    <row r="22" spans="7:10" x14ac:dyDescent="0.25">
      <c r="H22" t="str">
        <v>p-Value</v>
      </c>
      <c r="I22">
        <v>7.3741134179750034E-2</v>
      </c>
      <c r="J22" t="str">
        <f>IF(C11=I22,"TRUE","FALSE")</f>
        <v>TRUE</v>
      </c>
    </row>
    <row r="23" spans="7:10" x14ac:dyDescent="0.25">
      <c r="G23" t="s">
        <v>143</v>
      </c>
      <c r="H23" t="str" cm="1">
        <f t="array" ref="H23:I24">_xll.LINREG.DURBINWATSON('OLS Example'!A4:A23,'OLS Example'!B4:E23)</f>
        <v>DW Statistic</v>
      </c>
      <c r="I23">
        <v>1.1038969802581606</v>
      </c>
      <c r="J23" t="str">
        <f>IF(I23=B12,"TRUE","FALSE")</f>
        <v>TRUE</v>
      </c>
    </row>
    <row r="24" spans="7:10" x14ac:dyDescent="0.25">
      <c r="H24" t="str">
        <v>Autocorrelation</v>
      </c>
      <c r="I24">
        <v>0.44805150987091968</v>
      </c>
      <c r="J24" t="str">
        <f>IF(C12=I24,"TRUE","FALSE")</f>
        <v>TRUE</v>
      </c>
    </row>
    <row r="25" spans="7:10" x14ac:dyDescent="0.25">
      <c r="G25" t="s">
        <v>144</v>
      </c>
      <c r="H25" t="str" cm="1">
        <f t="array" ref="H25:I27">_xll.LINREG.BREUSCHGODFREY('OLS Example'!A4:A23,'OLS Example'!B4:E23)</f>
        <v>Statistic</v>
      </c>
      <c r="I25">
        <v>3.0206532591175494</v>
      </c>
      <c r="J25" t="str">
        <f>IF(B13=I25,"TRUE","FALSE")</f>
        <v>TRUE</v>
      </c>
    </row>
    <row r="26" spans="7:10" x14ac:dyDescent="0.25">
      <c r="H26" t="str">
        <v>p-Value</v>
      </c>
      <c r="I26">
        <v>8.2210344417614184E-2</v>
      </c>
      <c r="J26" t="str">
        <f>IF(C13=I26,"TRUE","FALSE")</f>
        <v>TRUE</v>
      </c>
    </row>
    <row r="27" spans="7:10" x14ac:dyDescent="0.25">
      <c r="H27" t="str">
        <v>df</v>
      </c>
      <c r="I27">
        <v>1</v>
      </c>
      <c r="J27" t="str">
        <f>IF(D13=I27,"TRUE","FALSE")</f>
        <v>TRUE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RunAllDiagnostics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8</xdr:col>
                    <xdr:colOff>200025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99A11-9EB0-4434-BF92-709799DFEBDA}">
  <sheetPr codeName="Sheet17"/>
  <dimension ref="A1:E134"/>
  <sheetViews>
    <sheetView workbookViewId="0">
      <selection activeCell="I48" sqref="I48"/>
    </sheetView>
  </sheetViews>
  <sheetFormatPr defaultRowHeight="15" x14ac:dyDescent="0.25"/>
  <cols>
    <col min="1" max="1" width="30.7109375" customWidth="1"/>
    <col min="2" max="2" width="10.7109375" customWidth="1"/>
    <col min="3" max="5" width="14.7109375" customWidth="1"/>
  </cols>
  <sheetData>
    <row r="1" spans="1:5" ht="17.25" x14ac:dyDescent="0.3">
      <c r="A1" s="2" t="s">
        <v>44</v>
      </c>
      <c r="D1" s="4" t="s">
        <v>24</v>
      </c>
      <c r="E1" s="4" t="s">
        <v>25</v>
      </c>
    </row>
    <row r="2" spans="1:5" x14ac:dyDescent="0.25">
      <c r="A2" s="1" t="s">
        <v>7</v>
      </c>
      <c r="B2" s="6">
        <v>1</v>
      </c>
      <c r="D2" t="s">
        <v>29</v>
      </c>
      <c r="E2">
        <v>37.318301271620797</v>
      </c>
    </row>
    <row r="3" spans="1:5" x14ac:dyDescent="0.25">
      <c r="A3" s="1" t="s">
        <v>8</v>
      </c>
      <c r="B3" s="6">
        <v>0.5</v>
      </c>
      <c r="D3" t="s">
        <v>30</v>
      </c>
      <c r="E3">
        <v>-0.94590721314286474</v>
      </c>
    </row>
    <row r="4" spans="1:5" x14ac:dyDescent="0.25">
      <c r="A4" s="7" t="s">
        <v>9</v>
      </c>
      <c r="D4" t="s">
        <v>31</v>
      </c>
      <c r="E4">
        <v>-1.6268045836933013E-3</v>
      </c>
    </row>
    <row r="5" spans="1:5" x14ac:dyDescent="0.25">
      <c r="D5" t="s">
        <v>32</v>
      </c>
      <c r="E5">
        <v>-1.8207198372264574E-2</v>
      </c>
    </row>
    <row r="6" spans="1:5" x14ac:dyDescent="0.25">
      <c r="D6" t="s">
        <v>33</v>
      </c>
      <c r="E6">
        <v>-2.4903405186391514</v>
      </c>
    </row>
    <row r="8" spans="1:5" x14ac:dyDescent="0.25">
      <c r="D8" t="s">
        <v>69</v>
      </c>
      <c r="E8">
        <v>0.83869116086577156</v>
      </c>
    </row>
    <row r="9" spans="1:5" x14ac:dyDescent="0.25">
      <c r="D9" t="s">
        <v>70</v>
      </c>
      <c r="E9">
        <v>0.79567547042997733</v>
      </c>
    </row>
    <row r="10" spans="1:5" x14ac:dyDescent="0.25">
      <c r="D10" t="s">
        <v>36</v>
      </c>
      <c r="E10">
        <v>8.5253011953152811</v>
      </c>
    </row>
    <row r="11" spans="1:5" x14ac:dyDescent="0.25">
      <c r="D11" t="s">
        <v>86</v>
      </c>
      <c r="E11">
        <v>1</v>
      </c>
    </row>
    <row r="12" spans="1:5" x14ac:dyDescent="0.25">
      <c r="D12" t="s">
        <v>90</v>
      </c>
      <c r="E12">
        <v>0.5</v>
      </c>
    </row>
    <row r="13" spans="1:5" x14ac:dyDescent="0.25">
      <c r="D13" t="s">
        <v>87</v>
      </c>
      <c r="E13">
        <v>4</v>
      </c>
    </row>
    <row r="14" spans="1:5" x14ac:dyDescent="0.25">
      <c r="D14" t="s">
        <v>88</v>
      </c>
      <c r="E14" t="s">
        <v>89</v>
      </c>
    </row>
    <row r="18" spans="1:4" x14ac:dyDescent="0.25">
      <c r="A18" t="str" cm="1">
        <f t="array" ref="A18:B31">_xll.LINREG.ELASTICNET('OLS Example'!A4:A23,'OLS Example'!B4:E23,1,0.5)</f>
        <v>Term</v>
      </c>
      <c r="B18" t="str">
        <v>Coefficient</v>
      </c>
      <c r="C18" t="str">
        <f>IF(A19=D2,"TRUE","FALSE")</f>
        <v>TRUE</v>
      </c>
      <c r="D18" t="str">
        <f>IF(B19=E2,"TRUE","FALSE")</f>
        <v>TRUE</v>
      </c>
    </row>
    <row r="19" spans="1:4" x14ac:dyDescent="0.25">
      <c r="A19" t="str">
        <v>Intercept</v>
      </c>
      <c r="B19">
        <v>37.318301271620797</v>
      </c>
      <c r="C19" t="str">
        <f t="shared" ref="C19:D19" si="0">IF(A20=D3,"TRUE","FALSE")</f>
        <v>TRUE</v>
      </c>
      <c r="D19" t="str">
        <f t="shared" si="0"/>
        <v>TRUE</v>
      </c>
    </row>
    <row r="20" spans="1:4" x14ac:dyDescent="0.25">
      <c r="A20" t="str">
        <v>X1</v>
      </c>
      <c r="B20">
        <v>-0.94590721314286474</v>
      </c>
      <c r="C20" t="str">
        <f t="shared" ref="C20:D20" si="1">IF(A21=D4,"TRUE","FALSE")</f>
        <v>TRUE</v>
      </c>
      <c r="D20" t="str">
        <f t="shared" si="1"/>
        <v>TRUE</v>
      </c>
    </row>
    <row r="21" spans="1:4" x14ac:dyDescent="0.25">
      <c r="A21" t="str">
        <v>X2</v>
      </c>
      <c r="B21">
        <v>-1.6268045836933013E-3</v>
      </c>
      <c r="C21" t="str">
        <f t="shared" ref="C21:D21" si="2">IF(A22=D5,"TRUE","FALSE")</f>
        <v>TRUE</v>
      </c>
      <c r="D21" t="str">
        <f t="shared" si="2"/>
        <v>TRUE</v>
      </c>
    </row>
    <row r="22" spans="1:4" x14ac:dyDescent="0.25">
      <c r="A22" t="str">
        <v>X3</v>
      </c>
      <c r="B22">
        <v>-1.8207198372264574E-2</v>
      </c>
      <c r="C22" t="str">
        <f>IF(A23=D6,"TRUE","FALSE")</f>
        <v>TRUE</v>
      </c>
      <c r="D22" t="str">
        <f>IF(B23=E6,"TRUE","FALSE")</f>
        <v>TRUE</v>
      </c>
    </row>
    <row r="23" spans="1:4" x14ac:dyDescent="0.25">
      <c r="A23" t="str">
        <v>X4</v>
      </c>
      <c r="B23">
        <v>-2.4903405186391514</v>
      </c>
      <c r="C23" t="str">
        <f t="shared" ref="C23:D23" si="3">IF(A24=D7,"TRUE","FALSE")</f>
        <v>TRUE</v>
      </c>
      <c r="D23" t="str">
        <f t="shared" si="3"/>
        <v>TRUE</v>
      </c>
    </row>
    <row r="24" spans="1:4" x14ac:dyDescent="0.25">
      <c r="A24" t="str">
        <v/>
      </c>
      <c r="B24" t="str">
        <v/>
      </c>
      <c r="C24" t="str">
        <f t="shared" ref="C24:D24" si="4">IF(A25=D8,"TRUE","FALSE")</f>
        <v>TRUE</v>
      </c>
      <c r="D24" t="str">
        <f t="shared" si="4"/>
        <v>TRUE</v>
      </c>
    </row>
    <row r="25" spans="1:4" x14ac:dyDescent="0.25">
      <c r="A25" t="str">
        <v>R-squared</v>
      </c>
      <c r="B25">
        <v>0.83869116086577156</v>
      </c>
      <c r="C25" t="str">
        <f t="shared" ref="C25:D25" si="5">IF(A26=D9,"TRUE","FALSE")</f>
        <v>TRUE</v>
      </c>
      <c r="D25" t="str">
        <f t="shared" si="5"/>
        <v>TRUE</v>
      </c>
    </row>
    <row r="26" spans="1:4" x14ac:dyDescent="0.25">
      <c r="A26" t="str">
        <v>Adj R-squared</v>
      </c>
      <c r="B26">
        <v>0.79567547042997733</v>
      </c>
      <c r="C26" t="str">
        <f t="shared" ref="C26:D26" si="6">IF(A27=D10,"TRUE","FALSE")</f>
        <v>TRUE</v>
      </c>
      <c r="D26" t="str">
        <f t="shared" si="6"/>
        <v>TRUE</v>
      </c>
    </row>
    <row r="27" spans="1:4" x14ac:dyDescent="0.25">
      <c r="A27" t="str">
        <v>MSE</v>
      </c>
      <c r="B27">
        <v>8.5253011953152811</v>
      </c>
      <c r="C27" t="str">
        <f t="shared" ref="C27:D27" si="7">IF(A28=D11,"TRUE","FALSE")</f>
        <v>TRUE</v>
      </c>
      <c r="D27" t="str">
        <f t="shared" si="7"/>
        <v>TRUE</v>
      </c>
    </row>
    <row r="28" spans="1:4" x14ac:dyDescent="0.25">
      <c r="A28" t="str">
        <v>Lambda</v>
      </c>
      <c r="B28">
        <v>1</v>
      </c>
      <c r="C28" t="str">
        <f t="shared" ref="C28:D28" si="8">IF(A29=D12,"TRUE","FALSE")</f>
        <v>TRUE</v>
      </c>
      <c r="D28" t="str">
        <f t="shared" si="8"/>
        <v>TRUE</v>
      </c>
    </row>
    <row r="29" spans="1:4" x14ac:dyDescent="0.25">
      <c r="A29" t="str">
        <v>Alpha</v>
      </c>
      <c r="B29">
        <v>0.5</v>
      </c>
      <c r="C29" t="str">
        <f t="shared" ref="C29:D29" si="9">IF(A30=D13,"TRUE","FALSE")</f>
        <v>TRUE</v>
      </c>
      <c r="D29" t="str">
        <f t="shared" si="9"/>
        <v>TRUE</v>
      </c>
    </row>
    <row r="30" spans="1:4" x14ac:dyDescent="0.25">
      <c r="A30" t="str">
        <v>Non-zero</v>
      </c>
      <c r="B30">
        <v>4</v>
      </c>
      <c r="C30" t="str">
        <f>IF(A31=D14,"TRUE","FALSE")</f>
        <v>TRUE</v>
      </c>
      <c r="D30" t="str">
        <f>IF(B31=E14,"TRUE","FALSE")</f>
        <v>TRUE</v>
      </c>
    </row>
    <row r="31" spans="1:4" x14ac:dyDescent="0.25">
      <c r="A31" t="str">
        <v>Converged</v>
      </c>
      <c r="B31" t="str">
        <v>Yes</v>
      </c>
      <c r="C31" t="str">
        <f t="shared" ref="C31" si="10">IF(A32=D15,"TRUE","FALSE")</f>
        <v>TRUE</v>
      </c>
      <c r="D31" t="str">
        <f t="shared" ref="D31" si="11">IF(B32=E15,"TRUE","FALSE")</f>
        <v>TRUE</v>
      </c>
    </row>
    <row r="34" spans="1:1" x14ac:dyDescent="0.25">
      <c r="A34" t="str" cm="1">
        <f t="array" ref="A34:A134">_xll.LINREG.LAMBDAPATH('OLS Example'!A4:A23,'OLS Example'!B4:E23,100,0.5)</f>
        <v>Lambda</v>
      </c>
    </row>
    <row r="35" spans="1:1" x14ac:dyDescent="0.25">
      <c r="A35" t="e">
        <v>#NUM!</v>
      </c>
    </row>
    <row r="36" spans="1:1" x14ac:dyDescent="0.25">
      <c r="A36">
        <v>146799.05350747236</v>
      </c>
    </row>
    <row r="37" spans="1:1" x14ac:dyDescent="0.25">
      <c r="A37">
        <v>133757.83018901371</v>
      </c>
    </row>
    <row r="38" spans="1:1" x14ac:dyDescent="0.25">
      <c r="A38">
        <v>121875.15320704933</v>
      </c>
    </row>
    <row r="39" spans="1:1" x14ac:dyDescent="0.25">
      <c r="A39">
        <v>111048.10049813257</v>
      </c>
    </row>
    <row r="40" spans="1:1" x14ac:dyDescent="0.25">
      <c r="A40">
        <v>101182.8933112683</v>
      </c>
    </row>
    <row r="41" spans="1:1" x14ac:dyDescent="0.25">
      <c r="A41">
        <v>92194.083941234727</v>
      </c>
    </row>
    <row r="42" spans="1:1" x14ac:dyDescent="0.25">
      <c r="A42">
        <v>84003.815621438203</v>
      </c>
    </row>
    <row r="43" spans="1:1" x14ac:dyDescent="0.25">
      <c r="A43">
        <v>76541.148165847029</v>
      </c>
    </row>
    <row r="44" spans="1:1" x14ac:dyDescent="0.25">
      <c r="A44">
        <v>69741.443519037202</v>
      </c>
    </row>
    <row r="45" spans="1:1" x14ac:dyDescent="0.25">
      <c r="A45">
        <v>63545.805892278666</v>
      </c>
    </row>
    <row r="46" spans="1:1" x14ac:dyDescent="0.25">
      <c r="A46">
        <v>57900.571636388522</v>
      </c>
    </row>
    <row r="47" spans="1:1" x14ac:dyDescent="0.25">
      <c r="A47">
        <v>52756.844432874088</v>
      </c>
    </row>
    <row r="48" spans="1:1" x14ac:dyDescent="0.25">
      <c r="A48">
        <v>48070.071777413657</v>
      </c>
    </row>
    <row r="49" spans="1:1" x14ac:dyDescent="0.25">
      <c r="A49">
        <v>43799.659087377622</v>
      </c>
    </row>
    <row r="50" spans="1:1" x14ac:dyDescent="0.25">
      <c r="A50">
        <v>39908.618090973832</v>
      </c>
    </row>
    <row r="51" spans="1:1" x14ac:dyDescent="0.25">
      <c r="A51">
        <v>36363.246452532192</v>
      </c>
    </row>
    <row r="52" spans="1:1" x14ac:dyDescent="0.25">
      <c r="A52">
        <v>33132.835858996019</v>
      </c>
    </row>
    <row r="53" spans="1:1" x14ac:dyDescent="0.25">
      <c r="A53">
        <v>30189.406039204925</v>
      </c>
    </row>
    <row r="54" spans="1:1" x14ac:dyDescent="0.25">
      <c r="A54">
        <v>27507.462412171557</v>
      </c>
    </row>
    <row r="55" spans="1:1" x14ac:dyDescent="0.25">
      <c r="A55">
        <v>25063.77526521746</v>
      </c>
    </row>
    <row r="56" spans="1:1" x14ac:dyDescent="0.25">
      <c r="A56">
        <v>22837.178549314769</v>
      </c>
    </row>
    <row r="57" spans="1:1" x14ac:dyDescent="0.25">
      <c r="A57">
        <v>20808.386548895174</v>
      </c>
    </row>
    <row r="58" spans="1:1" x14ac:dyDescent="0.25">
      <c r="A58">
        <v>18959.826838207802</v>
      </c>
    </row>
    <row r="59" spans="1:1" x14ac:dyDescent="0.25">
      <c r="A59">
        <v>17275.488077373844</v>
      </c>
    </row>
    <row r="60" spans="1:1" x14ac:dyDescent="0.25">
      <c r="A60">
        <v>15740.781329820225</v>
      </c>
    </row>
    <row r="61" spans="1:1" x14ac:dyDescent="0.25">
      <c r="A61">
        <v>14342.413699890232</v>
      </c>
    </row>
    <row r="62" spans="1:1" x14ac:dyDescent="0.25">
      <c r="A62">
        <v>13068.273196140535</v>
      </c>
    </row>
    <row r="63" spans="1:1" x14ac:dyDescent="0.25">
      <c r="A63">
        <v>11907.323823065584</v>
      </c>
    </row>
    <row r="64" spans="1:1" x14ac:dyDescent="0.25">
      <c r="A64">
        <v>10849.509992584062</v>
      </c>
    </row>
    <row r="65" spans="1:1" x14ac:dyDescent="0.25">
      <c r="A65">
        <v>9885.6694273454359</v>
      </c>
    </row>
    <row r="66" spans="1:1" x14ac:dyDescent="0.25">
      <c r="A66">
        <v>9007.4538014666978</v>
      </c>
    </row>
    <row r="67" spans="1:1" x14ac:dyDescent="0.25">
      <c r="A67">
        <v>8207.2564313273379</v>
      </c>
    </row>
    <row r="68" spans="1:1" x14ac:dyDescent="0.25">
      <c r="A68">
        <v>7478.1463901147918</v>
      </c>
    </row>
    <row r="69" spans="1:1" x14ac:dyDescent="0.25">
      <c r="A69">
        <v>6813.8084754520905</v>
      </c>
    </row>
    <row r="70" spans="1:1" x14ac:dyDescent="0.25">
      <c r="A70">
        <v>6208.4885101360069</v>
      </c>
    </row>
    <row r="71" spans="1:1" x14ac:dyDescent="0.25">
      <c r="A71">
        <v>5656.9435022068719</v>
      </c>
    </row>
    <row r="72" spans="1:1" x14ac:dyDescent="0.25">
      <c r="A72">
        <v>5154.3962326604214</v>
      </c>
    </row>
    <row r="73" spans="1:1" x14ac:dyDescent="0.25">
      <c r="A73">
        <v>4696.4938774621642</v>
      </c>
    </row>
    <row r="74" spans="1:1" x14ac:dyDescent="0.25">
      <c r="A74">
        <v>4279.2703054679459</v>
      </c>
    </row>
    <row r="75" spans="1:1" x14ac:dyDescent="0.25">
      <c r="A75">
        <v>3899.1117256933453</v>
      </c>
    </row>
    <row r="76" spans="1:1" x14ac:dyDescent="0.25">
      <c r="A76">
        <v>3552.7253863849701</v>
      </c>
    </row>
    <row r="77" spans="1:1" x14ac:dyDescent="0.25">
      <c r="A77">
        <v>3237.1110547799958</v>
      </c>
    </row>
    <row r="78" spans="1:1" x14ac:dyDescent="0.25">
      <c r="A78">
        <v>2949.5350305252596</v>
      </c>
    </row>
    <row r="79" spans="1:1" x14ac:dyDescent="0.25">
      <c r="A79">
        <v>2687.5064676725792</v>
      </c>
    </row>
    <row r="80" spans="1:1" x14ac:dyDescent="0.25">
      <c r="A80">
        <v>2448.7558001627503</v>
      </c>
    </row>
    <row r="81" spans="1:1" x14ac:dyDescent="0.25">
      <c r="A81">
        <v>2231.2150839300816</v>
      </c>
    </row>
    <row r="82" spans="1:1" x14ac:dyDescent="0.25">
      <c r="A82">
        <v>2033.0000853601857</v>
      </c>
    </row>
    <row r="83" spans="1:1" x14ac:dyDescent="0.25">
      <c r="A83">
        <v>1852.3939609598117</v>
      </c>
    </row>
    <row r="84" spans="1:1" x14ac:dyDescent="0.25">
      <c r="A84">
        <v>1687.83238687983</v>
      </c>
    </row>
    <row r="85" spans="1:1" x14ac:dyDescent="0.25">
      <c r="A85">
        <v>1537.8900094904106</v>
      </c>
    </row>
    <row r="86" spans="1:1" x14ac:dyDescent="0.25">
      <c r="A86">
        <v>1401.2680996497584</v>
      </c>
    </row>
    <row r="87" spans="1:1" x14ac:dyDescent="0.25">
      <c r="A87">
        <v>1276.7833037335879</v>
      </c>
    </row>
    <row r="88" spans="1:1" x14ac:dyDescent="0.25">
      <c r="A88">
        <v>1163.3573939921357</v>
      </c>
    </row>
    <row r="89" spans="1:1" x14ac:dyDescent="0.25">
      <c r="A89">
        <v>1060.0079294572074</v>
      </c>
    </row>
    <row r="90" spans="1:1" x14ac:dyDescent="0.25">
      <c r="A90">
        <v>965.83974650850223</v>
      </c>
    </row>
    <row r="91" spans="1:1" x14ac:dyDescent="0.25">
      <c r="A91">
        <v>880.03720539457242</v>
      </c>
    </row>
    <row r="92" spans="1:1" x14ac:dyDescent="0.25">
      <c r="A92">
        <v>801.85712555149155</v>
      </c>
    </row>
    <row r="93" spans="1:1" x14ac:dyDescent="0.25">
      <c r="A93">
        <v>730.62234852834092</v>
      </c>
    </row>
    <row r="94" spans="1:1" x14ac:dyDescent="0.25">
      <c r="A94">
        <v>665.7158727646547</v>
      </c>
    </row>
    <row r="95" spans="1:1" x14ac:dyDescent="0.25">
      <c r="A95">
        <v>606.57550941807119</v>
      </c>
    </row>
    <row r="96" spans="1:1" x14ac:dyDescent="0.25">
      <c r="A96">
        <v>552.68901295352669</v>
      </c>
    </row>
    <row r="97" spans="1:1" x14ac:dyDescent="0.25">
      <c r="A97">
        <v>503.58964431748473</v>
      </c>
    </row>
    <row r="98" spans="1:1" x14ac:dyDescent="0.25">
      <c r="A98">
        <v>458.85212826753832</v>
      </c>
    </row>
    <row r="99" spans="1:1" x14ac:dyDescent="0.25">
      <c r="A99">
        <v>418.08896984170821</v>
      </c>
    </row>
    <row r="100" spans="1:1" x14ac:dyDescent="0.25">
      <c r="A100">
        <v>380.94709806245652</v>
      </c>
    </row>
    <row r="101" spans="1:1" x14ac:dyDescent="0.25">
      <c r="A101">
        <v>347.10480780478542</v>
      </c>
    </row>
    <row r="102" spans="1:1" x14ac:dyDescent="0.25">
      <c r="A102">
        <v>316.2689733403455</v>
      </c>
    </row>
    <row r="103" spans="1:1" x14ac:dyDescent="0.25">
      <c r="A103">
        <v>288.1725094226054</v>
      </c>
    </row>
    <row r="104" spans="1:1" x14ac:dyDescent="0.25">
      <c r="A104">
        <v>262.57205792221794</v>
      </c>
    </row>
    <row r="105" spans="1:1" x14ac:dyDescent="0.25">
      <c r="A105">
        <v>239.24587997532399</v>
      </c>
    </row>
    <row r="106" spans="1:1" x14ac:dyDescent="0.25">
      <c r="A106">
        <v>217.99193538759175</v>
      </c>
    </row>
    <row r="107" spans="1:1" x14ac:dyDescent="0.25">
      <c r="A107">
        <v>198.62613265870775</v>
      </c>
    </row>
    <row r="108" spans="1:1" x14ac:dyDescent="0.25">
      <c r="A108">
        <v>180.98073446986893</v>
      </c>
    </row>
    <row r="109" spans="1:1" x14ac:dyDescent="0.25">
      <c r="A109">
        <v>164.9029048233713</v>
      </c>
    </row>
    <row r="110" spans="1:1" x14ac:dyDescent="0.25">
      <c r="A110">
        <v>150.25338525031319</v>
      </c>
    </row>
    <row r="111" spans="1:1" x14ac:dyDescent="0.25">
      <c r="A111">
        <v>136.90528862035777</v>
      </c>
    </row>
    <row r="112" spans="1:1" x14ac:dyDescent="0.25">
      <c r="A112">
        <v>124.74300010611171</v>
      </c>
    </row>
    <row r="113" spans="1:1" x14ac:dyDescent="0.25">
      <c r="A113">
        <v>113.66117578279952</v>
      </c>
    </row>
    <row r="114" spans="1:1" x14ac:dyDescent="0.25">
      <c r="A114">
        <v>103.5638301895827</v>
      </c>
    </row>
    <row r="115" spans="1:1" x14ac:dyDescent="0.25">
      <c r="A115">
        <v>94.363504949416694</v>
      </c>
    </row>
    <row r="116" spans="1:1" x14ac:dyDescent="0.25">
      <c r="A116">
        <v>85.980511246428122</v>
      </c>
    </row>
    <row r="117" spans="1:1" x14ac:dyDescent="0.25">
      <c r="A117">
        <v>78.342239599514272</v>
      </c>
    </row>
    <row r="118" spans="1:1" x14ac:dyDescent="0.25">
      <c r="A118">
        <v>71.382530953753445</v>
      </c>
    </row>
    <row r="119" spans="1:1" x14ac:dyDescent="0.25">
      <c r="A119">
        <v>65.041103642321218</v>
      </c>
    </row>
    <row r="120" spans="1:1" x14ac:dyDescent="0.25">
      <c r="A120">
        <v>59.263031255530585</v>
      </c>
    </row>
    <row r="121" spans="1:1" x14ac:dyDescent="0.25">
      <c r="A121">
        <v>53.998266894547633</v>
      </c>
    </row>
    <row r="122" spans="1:1" x14ac:dyDescent="0.25">
      <c r="A122">
        <v>49.201209689095805</v>
      </c>
    </row>
    <row r="123" spans="1:1" x14ac:dyDescent="0.25">
      <c r="A123">
        <v>44.830309824532648</v>
      </c>
    </row>
    <row r="124" spans="1:1" x14ac:dyDescent="0.25">
      <c r="A124">
        <v>40.847708657232459</v>
      </c>
    </row>
    <row r="125" spans="1:1" x14ac:dyDescent="0.25">
      <c r="A125">
        <v>37.218910801126455</v>
      </c>
    </row>
    <row r="126" spans="1:1" x14ac:dyDescent="0.25">
      <c r="A126">
        <v>33.912485345170936</v>
      </c>
    </row>
    <row r="127" spans="1:1" x14ac:dyDescent="0.25">
      <c r="A127">
        <v>30.899793613832088</v>
      </c>
    </row>
    <row r="128" spans="1:1" x14ac:dyDescent="0.25">
      <c r="A128">
        <v>28.154741112579039</v>
      </c>
    </row>
    <row r="129" spans="1:1" x14ac:dyDescent="0.25">
      <c r="A129">
        <v>25.653551509855593</v>
      </c>
    </row>
    <row r="130" spans="1:1" x14ac:dyDescent="0.25">
      <c r="A130">
        <v>23.374560697870692</v>
      </c>
    </row>
    <row r="131" spans="1:1" x14ac:dyDescent="0.25">
      <c r="A131">
        <v>21.298029148460653</v>
      </c>
    </row>
    <row r="132" spans="1:1" x14ac:dyDescent="0.25">
      <c r="A132">
        <v>19.405970938739436</v>
      </c>
    </row>
    <row r="133" spans="1:1" x14ac:dyDescent="0.25">
      <c r="A133">
        <v>17.681997965638914</v>
      </c>
    </row>
    <row r="134" spans="1:1" x14ac:dyDescent="0.25">
      <c r="A134">
        <v>16.111178000000027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2" r:id="rId3" name="Button 4">
              <controlPr defaultSize="0" print="0" autoFill="0" autoPict="0" macro="[0]!RunRidg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1524000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RunLass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1524000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5" name="Button 6">
              <controlPr defaultSize="0" print="0" autoFill="0" autoPict="0" macro="[0]!RunElasticNet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1524000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CF7A-0015-4B03-94B6-94A2AC38CE57}">
  <sheetPr codeName="Sheet18"/>
  <dimension ref="A1:I34"/>
  <sheetViews>
    <sheetView workbookViewId="0">
      <selection activeCell="J26" sqref="J26"/>
    </sheetView>
  </sheetViews>
  <sheetFormatPr defaultRowHeight="15" x14ac:dyDescent="0.25"/>
  <cols>
    <col min="1" max="1" width="30.7109375" customWidth="1"/>
    <col min="2" max="2" width="12.7109375" customWidth="1"/>
    <col min="3" max="3" width="14.7109375" customWidth="1"/>
  </cols>
  <sheetData>
    <row r="1" spans="1:7" ht="17.25" x14ac:dyDescent="0.3">
      <c r="A1" s="2" t="s">
        <v>91</v>
      </c>
    </row>
    <row r="2" spans="1:7" x14ac:dyDescent="0.25">
      <c r="A2" t="s">
        <v>92</v>
      </c>
    </row>
    <row r="4" spans="1:7" x14ac:dyDescent="0.25">
      <c r="A4" s="1" t="s">
        <v>93</v>
      </c>
      <c r="B4" s="6">
        <v>5</v>
      </c>
    </row>
    <row r="9" spans="1:7" x14ac:dyDescent="0.25">
      <c r="A9" s="4" t="s">
        <v>112</v>
      </c>
      <c r="B9" s="4" t="s">
        <v>113</v>
      </c>
      <c r="C9" s="4" t="s">
        <v>114</v>
      </c>
      <c r="D9" s="4" t="s">
        <v>115</v>
      </c>
      <c r="E9" s="4" t="s">
        <v>116</v>
      </c>
      <c r="F9" s="4" t="s">
        <v>117</v>
      </c>
      <c r="G9" s="4" t="s">
        <v>120</v>
      </c>
    </row>
    <row r="10" spans="1:7" x14ac:dyDescent="0.25">
      <c r="A10" t="s">
        <v>126</v>
      </c>
      <c r="B10">
        <v>5</v>
      </c>
      <c r="C10">
        <v>12.392417052709408</v>
      </c>
      <c r="D10">
        <v>16.952362009167015</v>
      </c>
      <c r="E10">
        <v>3.0066287640428748</v>
      </c>
      <c r="F10">
        <v>2.0471323015194405</v>
      </c>
      <c r="G10">
        <v>-2.3847618747525798</v>
      </c>
    </row>
    <row r="11" spans="1:7" x14ac:dyDescent="0.25">
      <c r="A11" t="s">
        <v>127</v>
      </c>
      <c r="B11">
        <v>5</v>
      </c>
      <c r="C11">
        <v>11.348021757609521</v>
      </c>
      <c r="D11">
        <v>14.327136116995201</v>
      </c>
      <c r="E11">
        <v>2.9337819406347148</v>
      </c>
      <c r="F11">
        <v>1.8509947603974757</v>
      </c>
      <c r="G11">
        <v>-3.1268507866056399</v>
      </c>
    </row>
    <row r="12" spans="1:7" x14ac:dyDescent="0.25">
      <c r="A12" t="s">
        <v>128</v>
      </c>
      <c r="B12">
        <v>5</v>
      </c>
      <c r="C12">
        <v>12.131746469226456</v>
      </c>
      <c r="D12">
        <v>13.377783466459226</v>
      </c>
      <c r="E12">
        <v>3.1322048953752821</v>
      </c>
      <c r="F12">
        <v>1.7033199063202915</v>
      </c>
      <c r="G12">
        <v>-3.3712578572607557</v>
      </c>
    </row>
    <row r="21" spans="1:9" x14ac:dyDescent="0.25">
      <c r="A21" s="1" t="s">
        <v>146</v>
      </c>
      <c r="D21" s="1" t="s">
        <v>148</v>
      </c>
      <c r="G21" s="1" t="s">
        <v>147</v>
      </c>
    </row>
    <row r="22" spans="1:9" x14ac:dyDescent="0.25">
      <c r="A22" t="str" cm="1">
        <f t="array" ref="A22:B34">_xll.LINREG.KFOLDRIDGE('OLS Example'!$A$4:$A$23,'OLS Example'!$B$4:$E$23,1,5)</f>
        <v>Metric</v>
      </c>
      <c r="B22" t="str">
        <v>Value</v>
      </c>
      <c r="D22" t="str" cm="1">
        <f t="array" ref="D22:E34">_xll.LINREG.KFOLDRIDGE('OLS Example'!$A$4:$A$23,'OLS Example'!$B$4:$E$23,0.1,5)</f>
        <v>Metric</v>
      </c>
      <c r="E22" t="str">
        <v>Value</v>
      </c>
      <c r="G22" t="str" cm="1">
        <f t="array" ref="G22:H34">_xll.LINREG.KFOLDRIDGE('OLS Example'!$A$4:$A$23,'OLS Example'!$B$4:$E$23,0.01,5)</f>
        <v>Metric</v>
      </c>
      <c r="H22" t="str">
        <v>Value</v>
      </c>
    </row>
    <row r="23" spans="1:9" x14ac:dyDescent="0.25">
      <c r="A23" t="str">
        <v>Mean MSE</v>
      </c>
      <c r="B23">
        <v>12.392417052709408</v>
      </c>
      <c r="C23" t="b">
        <f>IF(B23=$C$10,TRUE,FALSE)</f>
        <v>1</v>
      </c>
      <c r="D23" t="str">
        <v>Mean MSE</v>
      </c>
      <c r="E23">
        <v>11.348021757609521</v>
      </c>
      <c r="F23" t="b">
        <f>IF(E23=$C$11,TRUE,FALSE)</f>
        <v>1</v>
      </c>
      <c r="G23" t="str">
        <v>Mean MSE</v>
      </c>
      <c r="H23">
        <v>12.131746469226456</v>
      </c>
      <c r="I23" t="b">
        <f>IF(H23=$C$12,TRUE,FALSE)</f>
        <v>1</v>
      </c>
    </row>
    <row r="24" spans="1:9" x14ac:dyDescent="0.25">
      <c r="A24" t="str">
        <v>Std MSE</v>
      </c>
      <c r="B24">
        <v>16.952362009167015</v>
      </c>
      <c r="C24" t="b">
        <f>IF(B24=$D$10,TRUE,FALSE)</f>
        <v>1</v>
      </c>
      <c r="D24" t="str">
        <v>Std MSE</v>
      </c>
      <c r="E24">
        <v>14.327136116995201</v>
      </c>
      <c r="F24" t="b">
        <f>IF(E24=$D$11,TRUE,FALSE)</f>
        <v>1</v>
      </c>
      <c r="G24" t="str">
        <v>Std MSE</v>
      </c>
      <c r="H24">
        <v>13.377783466459226</v>
      </c>
      <c r="I24" t="b">
        <f>IF(H24=$D$12,TRUE,FALSE)</f>
        <v>1</v>
      </c>
    </row>
    <row r="25" spans="1:9" x14ac:dyDescent="0.25">
      <c r="A25" t="str">
        <v>Mean RMSE</v>
      </c>
      <c r="B25">
        <v>3.0066287640428748</v>
      </c>
      <c r="C25" t="b">
        <f>IF(B25=$E$10,TRUE,FALSE)</f>
        <v>1</v>
      </c>
      <c r="D25" t="str">
        <v>Mean RMSE</v>
      </c>
      <c r="E25">
        <v>2.9337819406347148</v>
      </c>
      <c r="F25" t="b">
        <f>IF(E25=$E$11,TRUE,FALSE)</f>
        <v>1</v>
      </c>
      <c r="G25" t="str">
        <v>Mean RMSE</v>
      </c>
      <c r="H25">
        <v>3.1322048953752821</v>
      </c>
      <c r="I25" t="b">
        <f>IF(H25=$E$12,TRUE,FALSE)</f>
        <v>1</v>
      </c>
    </row>
    <row r="26" spans="1:9" x14ac:dyDescent="0.25">
      <c r="A26" t="str">
        <v>Std RMSE</v>
      </c>
      <c r="B26">
        <v>2.0471323015194405</v>
      </c>
      <c r="C26" t="b">
        <f>IF(B26=$F$10,TRUE,FALSE)</f>
        <v>1</v>
      </c>
      <c r="D26" t="str">
        <v>Std RMSE</v>
      </c>
      <c r="E26">
        <v>1.8509947603974757</v>
      </c>
      <c r="F26" t="b">
        <f>IF(E26=$F$11,TRUE,FALSE)</f>
        <v>1</v>
      </c>
      <c r="G26" t="str">
        <v>Std RMSE</v>
      </c>
      <c r="H26">
        <v>1.7033199063202915</v>
      </c>
      <c r="I26" t="b">
        <f>IF(H26=$F$12,TRUE,FALSE)</f>
        <v>1</v>
      </c>
    </row>
    <row r="27" spans="1:9" x14ac:dyDescent="0.25">
      <c r="A27" t="str">
        <v>Mean MAE</v>
      </c>
      <c r="B27">
        <v>2.6852004533394003</v>
      </c>
      <c r="D27" t="str">
        <v>Mean MAE</v>
      </c>
      <c r="E27">
        <v>2.6407404212866816</v>
      </c>
      <c r="G27" t="str">
        <v>Mean MAE</v>
      </c>
      <c r="H27">
        <v>2.7741634869670797</v>
      </c>
    </row>
    <row r="28" spans="1:9" x14ac:dyDescent="0.25">
      <c r="A28" t="str">
        <v>Std MAE</v>
      </c>
      <c r="B28">
        <v>1.973407115876405</v>
      </c>
      <c r="D28" t="str">
        <v>Std MAE</v>
      </c>
      <c r="E28">
        <v>1.8062132970357414</v>
      </c>
      <c r="G28" t="str">
        <v>Std MAE</v>
      </c>
      <c r="H28">
        <v>1.6694565979384011</v>
      </c>
    </row>
    <row r="29" spans="1:9" x14ac:dyDescent="0.25">
      <c r="A29" t="str">
        <v>Mean R²</v>
      </c>
      <c r="B29">
        <v>-2.3847618747525798</v>
      </c>
      <c r="C29" t="b">
        <f>IF(B29=$G$10,TRUE,FALSE)</f>
        <v>1</v>
      </c>
      <c r="D29" t="str">
        <v>Mean R²</v>
      </c>
      <c r="E29">
        <v>-3.1268507866056399</v>
      </c>
      <c r="F29" t="b">
        <f>IF(E29=$G$11,TRUE,FALSE)</f>
        <v>1</v>
      </c>
      <c r="G29" t="str">
        <v>Mean R²</v>
      </c>
      <c r="H29">
        <v>-3.3712578572607557</v>
      </c>
      <c r="I29" t="b">
        <f>IF(H29=$G$12,TRUE,FALSE)</f>
        <v>1</v>
      </c>
    </row>
    <row r="30" spans="1:9" x14ac:dyDescent="0.25">
      <c r="A30" t="str">
        <v>Std R²</v>
      </c>
      <c r="B30">
        <v>6.3185744376992661</v>
      </c>
      <c r="D30" t="str">
        <v>Std R²</v>
      </c>
      <c r="E30">
        <v>8.160576147206104</v>
      </c>
      <c r="G30" t="str">
        <v>Std R²</v>
      </c>
      <c r="H30">
        <v>8.543405989422876</v>
      </c>
    </row>
    <row r="31" spans="1:9" x14ac:dyDescent="0.25">
      <c r="A31" t="str">
        <v/>
      </c>
      <c r="B31" t="str">
        <v/>
      </c>
      <c r="D31" t="str">
        <v/>
      </c>
      <c r="E31" t="str">
        <v/>
      </c>
      <c r="G31" t="str">
        <v/>
      </c>
      <c r="H31" t="str">
        <v/>
      </c>
    </row>
    <row r="32" spans="1:9" x14ac:dyDescent="0.25">
      <c r="A32" t="str">
        <v>n Folds</v>
      </c>
      <c r="B32">
        <v>5</v>
      </c>
      <c r="C32" t="b">
        <f>IF(B32=$B$10,TRUE,FALSE)</f>
        <v>1</v>
      </c>
      <c r="D32" t="str">
        <v>n Folds</v>
      </c>
      <c r="E32">
        <v>5</v>
      </c>
      <c r="F32" t="b">
        <f>IF(E32=$B$11,TRUE,FALSE)</f>
        <v>1</v>
      </c>
      <c r="G32" t="str">
        <v>n Folds</v>
      </c>
      <c r="H32">
        <v>5</v>
      </c>
      <c r="I32" t="b">
        <f>IF(H32=$B$12,TRUE,FALSE)</f>
        <v>1</v>
      </c>
    </row>
    <row r="33" spans="1:8" x14ac:dyDescent="0.25">
      <c r="A33" t="str">
        <v>n Samples</v>
      </c>
      <c r="B33">
        <v>20</v>
      </c>
      <c r="D33" t="str">
        <v>n Samples</v>
      </c>
      <c r="E33">
        <v>20</v>
      </c>
      <c r="G33" t="str">
        <v>n Samples</v>
      </c>
      <c r="H33">
        <v>20</v>
      </c>
    </row>
    <row r="34" spans="1:8" x14ac:dyDescent="0.25">
      <c r="A34" t="str">
        <v>Train R²</v>
      </c>
      <c r="B34">
        <v>0.85259590059287227</v>
      </c>
      <c r="D34" t="str">
        <v>Train R²</v>
      </c>
      <c r="E34">
        <v>0.86835616779181635</v>
      </c>
      <c r="G34" t="str">
        <v>Train R²</v>
      </c>
      <c r="H34">
        <v>0.86997368323044755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r:id="rId3" name="Button 5">
              <controlPr defaultSize="0" print="0" autoFill="0" autoPict="0" macro="[0]!RunKFoldOLS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552450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4" name="Button 6">
              <controlPr defaultSize="0" print="0" autoFill="0" autoPict="0" macro="[0]!RunKFoldRidge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9</xdr:col>
                    <xdr:colOff>552450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print="0" autoFill="0" autoPict="0" macro="[0]!RunKFoldLasso">
                <anchor moveWithCells="1" siz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9</xdr:col>
                    <xdr:colOff>552450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RunKFoldElasticNet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9</xdr:col>
                    <xdr:colOff>552450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392F-F4F7-4EDE-A057-D49445E05084}">
  <sheetPr codeName="Sheet19"/>
  <dimension ref="A1:E50"/>
  <sheetViews>
    <sheetView workbookViewId="0">
      <selection activeCell="D51" sqref="D51"/>
    </sheetView>
  </sheetViews>
  <sheetFormatPr defaultRowHeight="15" x14ac:dyDescent="0.25"/>
  <cols>
    <col min="1" max="1" width="10.7109375" customWidth="1"/>
    <col min="2" max="2" width="12.7109375" customWidth="1"/>
    <col min="4" max="4" width="11.7109375" customWidth="1"/>
  </cols>
  <sheetData>
    <row r="1" spans="1:2" ht="17.25" x14ac:dyDescent="0.3">
      <c r="A1" s="2" t="s">
        <v>94</v>
      </c>
    </row>
    <row r="2" spans="1:2" x14ac:dyDescent="0.25">
      <c r="A2" t="s">
        <v>95</v>
      </c>
    </row>
    <row r="4" spans="1:2" x14ac:dyDescent="0.25">
      <c r="A4" s="4" t="s">
        <v>96</v>
      </c>
      <c r="B4" s="4" t="s">
        <v>97</v>
      </c>
    </row>
    <row r="5" spans="1:2" x14ac:dyDescent="0.25">
      <c r="A5">
        <v>5</v>
      </c>
      <c r="B5">
        <v>33.77737557888031</v>
      </c>
    </row>
    <row r="6" spans="1:2" x14ac:dyDescent="0.25">
      <c r="A6" s="5">
        <v>10</v>
      </c>
      <c r="B6" s="5">
        <v>72.67120099067688</v>
      </c>
    </row>
    <row r="7" spans="1:2" x14ac:dyDescent="0.25">
      <c r="A7">
        <v>15</v>
      </c>
      <c r="B7">
        <v>147.47593080997467</v>
      </c>
    </row>
    <row r="8" spans="1:2" x14ac:dyDescent="0.25">
      <c r="A8" s="5">
        <v>20</v>
      </c>
      <c r="B8" s="5">
        <v>230.4781231880188</v>
      </c>
    </row>
    <row r="9" spans="1:2" x14ac:dyDescent="0.25">
      <c r="A9">
        <v>25</v>
      </c>
      <c r="B9">
        <v>353.59740054607391</v>
      </c>
    </row>
    <row r="10" spans="1:2" x14ac:dyDescent="0.25">
      <c r="A10" s="5">
        <v>30</v>
      </c>
      <c r="B10" s="5">
        <v>524.73700499534607</v>
      </c>
    </row>
    <row r="11" spans="1:2" x14ac:dyDescent="0.25">
      <c r="A11">
        <v>35</v>
      </c>
      <c r="B11">
        <v>659.2008820772171</v>
      </c>
    </row>
    <row r="12" spans="1:2" x14ac:dyDescent="0.25">
      <c r="A12" s="5">
        <v>40</v>
      </c>
      <c r="B12" s="5">
        <v>894.0361795425415</v>
      </c>
    </row>
    <row r="13" spans="1:2" x14ac:dyDescent="0.25">
      <c r="A13">
        <v>45</v>
      </c>
      <c r="B13">
        <v>1119.2245010137558</v>
      </c>
    </row>
    <row r="14" spans="1:2" x14ac:dyDescent="0.25">
      <c r="A14" s="5">
        <v>50</v>
      </c>
      <c r="B14" s="5">
        <v>1361.4518949985504</v>
      </c>
    </row>
    <row r="15" spans="1:2" x14ac:dyDescent="0.25">
      <c r="A15">
        <v>55</v>
      </c>
      <c r="B15">
        <v>1600.7676378488541</v>
      </c>
    </row>
    <row r="16" spans="1:2" x14ac:dyDescent="0.25">
      <c r="A16" s="5">
        <v>60</v>
      </c>
      <c r="B16" s="5">
        <v>1916.7016348838806</v>
      </c>
    </row>
    <row r="17" spans="1:5" x14ac:dyDescent="0.25">
      <c r="A17">
        <v>65</v>
      </c>
      <c r="B17">
        <v>2261.6309670209885</v>
      </c>
    </row>
    <row r="18" spans="1:5" x14ac:dyDescent="0.25">
      <c r="A18" s="5">
        <v>70</v>
      </c>
      <c r="B18" s="5">
        <v>2605.5240008831024</v>
      </c>
    </row>
    <row r="19" spans="1:5" x14ac:dyDescent="0.25">
      <c r="A19">
        <v>75</v>
      </c>
      <c r="B19">
        <v>2957.1768084764481</v>
      </c>
    </row>
    <row r="20" spans="1:5" x14ac:dyDescent="0.25">
      <c r="A20" s="5">
        <v>80</v>
      </c>
      <c r="B20" s="5">
        <v>3384.0976581573486</v>
      </c>
    </row>
    <row r="21" spans="1:5" x14ac:dyDescent="0.25">
      <c r="A21">
        <v>85</v>
      </c>
      <c r="B21">
        <v>3802.0722917318344</v>
      </c>
    </row>
    <row r="22" spans="1:5" x14ac:dyDescent="0.25">
      <c r="A22" s="5">
        <v>90</v>
      </c>
      <c r="B22" s="5">
        <v>4208.8118431568146</v>
      </c>
    </row>
    <row r="23" spans="1:5" x14ac:dyDescent="0.25">
      <c r="A23">
        <v>95</v>
      </c>
      <c r="B23">
        <v>4725.9778324365616</v>
      </c>
    </row>
    <row r="24" spans="1:5" x14ac:dyDescent="0.25">
      <c r="A24" s="5">
        <v>100</v>
      </c>
      <c r="B24" s="5">
        <v>5194.2009339332581</v>
      </c>
    </row>
    <row r="27" spans="1:5" x14ac:dyDescent="0.25">
      <c r="A27" s="1" t="s">
        <v>98</v>
      </c>
      <c r="B27" s="6">
        <v>2</v>
      </c>
    </row>
    <row r="28" spans="1:5" x14ac:dyDescent="0.25">
      <c r="A28" s="1" t="s">
        <v>99</v>
      </c>
      <c r="B28" s="6" t="b">
        <v>0</v>
      </c>
    </row>
    <row r="29" spans="1:5" x14ac:dyDescent="0.25">
      <c r="A29" t="s">
        <v>125</v>
      </c>
    </row>
    <row r="30" spans="1:5" x14ac:dyDescent="0.25">
      <c r="D30" s="4" t="s">
        <v>24</v>
      </c>
      <c r="E30" s="4" t="s">
        <v>25</v>
      </c>
    </row>
    <row r="31" spans="1:5" x14ac:dyDescent="0.25">
      <c r="D31" t="s">
        <v>29</v>
      </c>
      <c r="E31">
        <v>1.0790808911917471</v>
      </c>
    </row>
    <row r="32" spans="1:5" x14ac:dyDescent="0.25">
      <c r="D32" t="s">
        <v>30</v>
      </c>
      <c r="E32">
        <v>2.0430280804552496</v>
      </c>
    </row>
    <row r="33" spans="1:5" x14ac:dyDescent="0.25">
      <c r="D33" t="s">
        <v>31</v>
      </c>
      <c r="E33">
        <v>0.50016517073126543</v>
      </c>
    </row>
    <row r="35" spans="1:5" x14ac:dyDescent="0.25">
      <c r="D35" t="s">
        <v>69</v>
      </c>
      <c r="E35">
        <v>0.9999149479241326</v>
      </c>
    </row>
    <row r="36" spans="1:5" x14ac:dyDescent="0.25">
      <c r="D36" t="s">
        <v>70</v>
      </c>
      <c r="E36">
        <v>0.99990494179755995</v>
      </c>
    </row>
    <row r="37" spans="1:5" x14ac:dyDescent="0.25">
      <c r="D37" t="s">
        <v>36</v>
      </c>
      <c r="E37">
        <v>261.35626049956841</v>
      </c>
    </row>
    <row r="38" spans="1:5" x14ac:dyDescent="0.25">
      <c r="D38" t="s">
        <v>110</v>
      </c>
      <c r="E38">
        <v>2</v>
      </c>
    </row>
    <row r="39" spans="1:5" x14ac:dyDescent="0.25">
      <c r="D39" t="s">
        <v>111</v>
      </c>
      <c r="E39" t="s">
        <v>149</v>
      </c>
    </row>
    <row r="41" spans="1:5" x14ac:dyDescent="0.25">
      <c r="A41" t="str" cm="1">
        <f t="array" ref="A41:E50">_xll.LINREG.POLYNOMIAL(B5:B24,A5:A24,2)</f>
        <v>Term</v>
      </c>
      <c r="B41" t="str">
        <v>Coefficient</v>
      </c>
      <c r="C41" t="str">
        <v>Std Error</v>
      </c>
      <c r="D41" t="str">
        <v>t Stat</v>
      </c>
      <c r="E41" t="str">
        <v>p-Value</v>
      </c>
    </row>
    <row r="42" spans="1:5" x14ac:dyDescent="0.25">
      <c r="A42" t="str">
        <v>Intercept</v>
      </c>
      <c r="B42">
        <v>1.0790808911917471</v>
      </c>
      <c r="C42">
        <v>12.027592559830385</v>
      </c>
      <c r="D42">
        <v>8.9717113863305359E-2</v>
      </c>
      <c r="E42">
        <v>0.92956056095125161</v>
      </c>
    </row>
    <row r="43" spans="1:5" x14ac:dyDescent="0.25">
      <c r="A43" t="str">
        <v>x</v>
      </c>
      <c r="B43">
        <v>2.0430280804552496</v>
      </c>
      <c r="C43">
        <v>0.52756748027744593</v>
      </c>
      <c r="D43">
        <v>3.8725436211133184</v>
      </c>
      <c r="E43">
        <v>1.2223887904432296E-3</v>
      </c>
    </row>
    <row r="44" spans="1:5" x14ac:dyDescent="0.25">
      <c r="A44" t="str">
        <v>x^2</v>
      </c>
      <c r="B44">
        <v>0.50016517073126543</v>
      </c>
      <c r="C44">
        <v>4.8804926048073502E-3</v>
      </c>
      <c r="D44">
        <v>102.48251789964728</v>
      </c>
      <c r="E44">
        <v>0</v>
      </c>
    </row>
    <row r="45" spans="1:5" x14ac:dyDescent="0.25">
      <c r="A45" t="str">
        <v>R-squared</v>
      </c>
      <c r="B45">
        <v>0.9999149479241326</v>
      </c>
      <c r="C45" t="str">
        <v/>
      </c>
      <c r="D45" t="str">
        <v/>
      </c>
      <c r="E45" t="str">
        <v/>
      </c>
    </row>
    <row r="46" spans="1:5" x14ac:dyDescent="0.25">
      <c r="A46" t="str">
        <v>Adj R-squared</v>
      </c>
      <c r="B46">
        <v>0.99990494179755995</v>
      </c>
      <c r="C46" t="str">
        <v/>
      </c>
      <c r="D46" t="str">
        <v/>
      </c>
      <c r="E46" t="str">
        <v/>
      </c>
    </row>
    <row r="47" spans="1:5" x14ac:dyDescent="0.25">
      <c r="A47" t="str">
        <v>F-statistic</v>
      </c>
      <c r="B47">
        <v>99930.271785509962</v>
      </c>
      <c r="C47" t="str">
        <v/>
      </c>
      <c r="D47" t="str">
        <v/>
      </c>
      <c r="E47" t="str">
        <v/>
      </c>
    </row>
    <row r="48" spans="1:5" x14ac:dyDescent="0.25">
      <c r="A48" t="str">
        <v>F p-value</v>
      </c>
      <c r="B48">
        <v>0</v>
      </c>
      <c r="C48" t="str">
        <v/>
      </c>
      <c r="D48" t="str">
        <v/>
      </c>
      <c r="E48" t="str">
        <v/>
      </c>
    </row>
    <row r="49" spans="1:5" x14ac:dyDescent="0.25">
      <c r="A49" t="str">
        <v>MSE</v>
      </c>
      <c r="B49">
        <v>261.35626049956841</v>
      </c>
      <c r="C49" t="str">
        <v/>
      </c>
      <c r="D49" t="str">
        <v/>
      </c>
      <c r="E49" t="str">
        <v/>
      </c>
    </row>
    <row r="50" spans="1:5" x14ac:dyDescent="0.25">
      <c r="A50" t="str">
        <v>RMSE</v>
      </c>
      <c r="B50">
        <v>16.166516647056916</v>
      </c>
      <c r="C50" t="str">
        <v/>
      </c>
      <c r="D50" t="str">
        <v/>
      </c>
      <c r="E50" t="str"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0" r:id="rId3" name="Button 4">
              <controlPr defaultSize="0" print="0" autoFill="0" autoPict="0" macro="[0]!RunPolynomial">
                <anchor moveWithCells="1" siz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2</xdr:col>
                    <xdr:colOff>209550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4" name="Button 5">
              <controlPr defaultSize="0" print="0" autoFill="0" autoPict="0" macro="[0]!RunPolynomialQuad">
                <anchor moveWithCells="1" siz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2</xdr:col>
                    <xdr:colOff>209550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5" name="Button 6">
              <controlPr defaultSize="0" print="0" autoFill="0" autoPict="0" macro="[0]!RunPolynomialCubic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2</xdr:col>
                    <xdr:colOff>209550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AC349-57CD-40AA-9E6E-33A43E03C829}">
  <sheetPr codeName="Sheet20"/>
  <dimension ref="A1:A61"/>
  <sheetViews>
    <sheetView workbookViewId="0"/>
  </sheetViews>
  <sheetFormatPr defaultRowHeight="15" x14ac:dyDescent="0.25"/>
  <cols>
    <col min="1" max="1" width="80.7109375" customWidth="1"/>
  </cols>
  <sheetData>
    <row r="1" spans="1:1" ht="18.75" x14ac:dyDescent="0.3">
      <c r="A1" s="8" t="s">
        <v>45</v>
      </c>
    </row>
    <row r="3" spans="1:1" x14ac:dyDescent="0.25">
      <c r="A3" s="1" t="s">
        <v>10</v>
      </c>
    </row>
    <row r="4" spans="1:1" x14ac:dyDescent="0.25">
      <c r="A4" t="s">
        <v>11</v>
      </c>
    </row>
    <row r="6" spans="1:1" x14ac:dyDescent="0.25">
      <c r="A6" s="1" t="s">
        <v>12</v>
      </c>
    </row>
    <row r="7" spans="1:1" x14ac:dyDescent="0.25">
      <c r="A7" t="s">
        <v>46</v>
      </c>
    </row>
    <row r="8" spans="1:1" x14ac:dyDescent="0.25">
      <c r="A8" t="s">
        <v>47</v>
      </c>
    </row>
    <row r="9" spans="1:1" x14ac:dyDescent="0.25">
      <c r="A9" t="s">
        <v>48</v>
      </c>
    </row>
    <row r="11" spans="1:1" x14ac:dyDescent="0.25">
      <c r="A11" s="1" t="s">
        <v>13</v>
      </c>
    </row>
    <row r="12" spans="1:1" x14ac:dyDescent="0.25">
      <c r="A12" t="s">
        <v>14</v>
      </c>
    </row>
    <row r="13" spans="1:1" x14ac:dyDescent="0.25">
      <c r="A13" t="s">
        <v>49</v>
      </c>
    </row>
    <row r="14" spans="1:1" x14ac:dyDescent="0.25">
      <c r="A14" t="s">
        <v>15</v>
      </c>
    </row>
    <row r="16" spans="1:1" x14ac:dyDescent="0.25">
      <c r="A16" s="1" t="s">
        <v>16</v>
      </c>
    </row>
    <row r="17" spans="1:1" x14ac:dyDescent="0.25">
      <c r="A17" t="s">
        <v>50</v>
      </c>
    </row>
    <row r="18" spans="1:1" x14ac:dyDescent="0.25">
      <c r="A18" t="s">
        <v>51</v>
      </c>
    </row>
    <row r="19" spans="1:1" x14ac:dyDescent="0.25">
      <c r="A19" t="s">
        <v>52</v>
      </c>
    </row>
    <row r="20" spans="1:1" x14ac:dyDescent="0.25">
      <c r="A20" t="s">
        <v>100</v>
      </c>
    </row>
    <row r="21" spans="1:1" x14ac:dyDescent="0.25">
      <c r="A21" t="s">
        <v>101</v>
      </c>
    </row>
    <row r="22" spans="1:1" x14ac:dyDescent="0.25">
      <c r="A22" t="s">
        <v>53</v>
      </c>
    </row>
    <row r="24" spans="1:1" x14ac:dyDescent="0.25">
      <c r="A24" s="1" t="s">
        <v>17</v>
      </c>
    </row>
    <row r="25" spans="1:1" x14ac:dyDescent="0.25">
      <c r="A25" t="s">
        <v>54</v>
      </c>
    </row>
    <row r="26" spans="1:1" x14ac:dyDescent="0.25">
      <c r="A26" t="s">
        <v>55</v>
      </c>
    </row>
    <row r="27" spans="1:1" x14ac:dyDescent="0.25">
      <c r="A27" t="s">
        <v>56</v>
      </c>
    </row>
    <row r="28" spans="1:1" x14ac:dyDescent="0.25">
      <c r="A28" t="s">
        <v>57</v>
      </c>
    </row>
    <row r="29" spans="1:1" x14ac:dyDescent="0.25">
      <c r="A29" t="s">
        <v>58</v>
      </c>
    </row>
    <row r="30" spans="1:1" x14ac:dyDescent="0.25">
      <c r="A30" t="s">
        <v>124</v>
      </c>
    </row>
    <row r="31" spans="1:1" x14ac:dyDescent="0.25">
      <c r="A31" t="s">
        <v>59</v>
      </c>
    </row>
    <row r="32" spans="1:1" x14ac:dyDescent="0.25">
      <c r="A32" t="s">
        <v>60</v>
      </c>
    </row>
    <row r="33" spans="1:1" x14ac:dyDescent="0.25">
      <c r="A33" t="s">
        <v>61</v>
      </c>
    </row>
    <row r="35" spans="1:1" x14ac:dyDescent="0.25">
      <c r="A35" s="1" t="s">
        <v>18</v>
      </c>
    </row>
    <row r="36" spans="1:1" x14ac:dyDescent="0.25">
      <c r="A36" t="s">
        <v>62</v>
      </c>
    </row>
    <row r="37" spans="1:1" x14ac:dyDescent="0.25">
      <c r="A37" t="s">
        <v>63</v>
      </c>
    </row>
    <row r="38" spans="1:1" x14ac:dyDescent="0.25">
      <c r="A38" t="s">
        <v>64</v>
      </c>
    </row>
    <row r="39" spans="1:1" x14ac:dyDescent="0.25">
      <c r="A39" t="s">
        <v>65</v>
      </c>
    </row>
    <row r="41" spans="1:1" x14ac:dyDescent="0.25">
      <c r="A41" s="1" t="s">
        <v>19</v>
      </c>
    </row>
    <row r="42" spans="1:1" x14ac:dyDescent="0.25">
      <c r="A42" t="s">
        <v>66</v>
      </c>
    </row>
    <row r="43" spans="1:1" x14ac:dyDescent="0.25">
      <c r="A43" t="s">
        <v>67</v>
      </c>
    </row>
    <row r="44" spans="1:1" x14ac:dyDescent="0.25">
      <c r="A44" t="s">
        <v>68</v>
      </c>
    </row>
    <row r="46" spans="1:1" x14ac:dyDescent="0.25">
      <c r="A46" s="1" t="s">
        <v>102</v>
      </c>
    </row>
    <row r="47" spans="1:1" x14ac:dyDescent="0.25">
      <c r="A47" t="s">
        <v>103</v>
      </c>
    </row>
    <row r="48" spans="1:1" x14ac:dyDescent="0.25">
      <c r="A48" t="s">
        <v>104</v>
      </c>
    </row>
    <row r="49" spans="1:1" x14ac:dyDescent="0.25">
      <c r="A49" t="s">
        <v>105</v>
      </c>
    </row>
    <row r="50" spans="1:1" x14ac:dyDescent="0.25">
      <c r="A50" t="s">
        <v>118</v>
      </c>
    </row>
    <row r="52" spans="1:1" x14ac:dyDescent="0.25">
      <c r="A52" s="1" t="s">
        <v>106</v>
      </c>
    </row>
    <row r="53" spans="1:1" x14ac:dyDescent="0.25">
      <c r="A53" t="s">
        <v>107</v>
      </c>
    </row>
    <row r="54" spans="1:1" x14ac:dyDescent="0.25">
      <c r="A54" t="s">
        <v>108</v>
      </c>
    </row>
    <row r="55" spans="1:1" x14ac:dyDescent="0.25">
      <c r="A55" t="s">
        <v>119</v>
      </c>
    </row>
    <row r="57" spans="1:1" x14ac:dyDescent="0.25">
      <c r="A57" s="1" t="s">
        <v>20</v>
      </c>
    </row>
    <row r="58" spans="1:1" x14ac:dyDescent="0.25">
      <c r="A58" t="s">
        <v>21</v>
      </c>
    </row>
    <row r="59" spans="1:1" x14ac:dyDescent="0.25">
      <c r="A59" t="s">
        <v>109</v>
      </c>
    </row>
    <row r="60" spans="1:1" x14ac:dyDescent="0.25">
      <c r="A60" t="s">
        <v>22</v>
      </c>
    </row>
    <row r="61" spans="1:1" x14ac:dyDescent="0.25">
      <c r="A6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OLS Example</vt:lpstr>
      <vt:lpstr>Diagnostics</vt:lpstr>
      <vt:lpstr>Regularized</vt:lpstr>
      <vt:lpstr>Cross Validation</vt:lpstr>
      <vt:lpstr>Polynomial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Anderson, Jesse</dc:creator>
  <cp:lastModifiedBy>Anderson, Jesse</cp:lastModifiedBy>
  <dcterms:created xsi:type="dcterms:W3CDTF">2026-02-18T21:41:13Z</dcterms:created>
  <dcterms:modified xsi:type="dcterms:W3CDTF">2026-02-23T12:25:53Z</dcterms:modified>
</cp:coreProperties>
</file>